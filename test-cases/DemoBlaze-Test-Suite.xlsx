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xr:revisionPtr revIDLastSave="0" documentId="13_ncr:1_{5A40D1BA-AC1D-934C-8EC0-8BE16A8D0D49}" xr6:coauthVersionLast="47" xr6:coauthVersionMax="47" xr10:uidLastSave="{00000000-0000-0000-0000-000000000000}"/>
  <bookViews>
    <workbookView xWindow="0" yWindow="780" windowWidth="36000" windowHeight="21420" activeTab="1" xr2:uid="{00000000-000D-0000-FFFF-FFFF00000000}"/>
  </bookViews>
  <sheets>
    <sheet name="Overview" sheetId="1" r:id="rId1"/>
    <sheet name="Test Cases" sheetId="2" r:id="rId2"/>
    <sheet name="Findings" sheetId="3" r:id="rId3"/>
  </sheets>
  <definedNames>
    <definedName name="_xlnm.Print_Area" localSheetId="0">Overview!$A$1:$J$36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E29" i="1"/>
  <c r="D29" i="1"/>
  <c r="C29" i="1"/>
  <c r="F28" i="1"/>
  <c r="E28" i="1"/>
  <c r="D28" i="1"/>
  <c r="C28" i="1"/>
  <c r="F27" i="1"/>
  <c r="E27" i="1"/>
  <c r="D27" i="1"/>
  <c r="C27" i="1"/>
  <c r="I22" i="1"/>
  <c r="H22" i="1"/>
  <c r="G22" i="1"/>
  <c r="F22" i="1"/>
  <c r="E22" i="1"/>
  <c r="D22" i="1"/>
  <c r="C22" i="1"/>
  <c r="I21" i="1"/>
  <c r="H21" i="1"/>
  <c r="G21" i="1"/>
  <c r="F21" i="1"/>
  <c r="E21" i="1"/>
  <c r="D21" i="1"/>
  <c r="C21" i="1"/>
  <c r="I20" i="1"/>
  <c r="H20" i="1"/>
  <c r="G20" i="1"/>
  <c r="F20" i="1"/>
  <c r="E20" i="1"/>
  <c r="D20" i="1"/>
  <c r="C20" i="1"/>
  <c r="I19" i="1"/>
  <c r="I23" i="1" s="1"/>
  <c r="H19" i="1"/>
  <c r="H23" i="1" s="1"/>
  <c r="G19" i="1"/>
  <c r="G23" i="1" s="1"/>
  <c r="F19" i="1"/>
  <c r="F23" i="1" s="1"/>
  <c r="E19" i="1"/>
  <c r="E23" i="1" s="1"/>
  <c r="D19" i="1"/>
  <c r="D23" i="1" s="1"/>
  <c r="C19" i="1"/>
  <c r="C23" i="1" s="1"/>
  <c r="I8" i="1"/>
  <c r="H8" i="1"/>
  <c r="G8" i="1"/>
  <c r="F8" i="1"/>
  <c r="D8" i="1"/>
  <c r="C8" i="1"/>
  <c r="B8" i="1"/>
  <c r="E8" i="1" s="1"/>
</calcChain>
</file>

<file path=xl/sharedStrings.xml><?xml version="1.0" encoding="utf-8"?>
<sst xmlns="http://schemas.openxmlformats.org/spreadsheetml/2006/main" count="842" uniqueCount="473">
  <si>
    <t>DemoBlaze QA Test Suite</t>
  </si>
  <si>
    <t>Login, Cart, Checkout and API  |  test cases, coverage and findings</t>
  </si>
  <si>
    <t>Summary</t>
  </si>
  <si>
    <t>Total cases</t>
  </si>
  <si>
    <t>Automated</t>
  </si>
  <si>
    <t>Manual</t>
  </si>
  <si>
    <t>Automation rate</t>
  </si>
  <si>
    <t>Passed</t>
  </si>
  <si>
    <t>Failed</t>
  </si>
  <si>
    <t>Observed</t>
  </si>
  <si>
    <t>Not executed</t>
  </si>
  <si>
    <t>Project</t>
  </si>
  <si>
    <t>Application</t>
  </si>
  <si>
    <t>https://www.demoblaze.com/</t>
  </si>
  <si>
    <t>Scope</t>
  </si>
  <si>
    <t>Login, Cart, Checkout (end of the cart journey), supporting API contracts</t>
  </si>
  <si>
    <t>Executed on</t>
  </si>
  <si>
    <t>Automated runs: 2 October 2026 (records in docs/evidence). Manual observations: 30 September 2026.</t>
  </si>
  <si>
    <t>Repository docs</t>
  </si>
  <si>
    <t>README.md, docs/evidence/</t>
  </si>
  <si>
    <t>Sheets</t>
  </si>
  <si>
    <t>Test Cases: full case catalogue with steps, expected result, automation and status.  Findings: product defects with reproduction and recommendation.</t>
  </si>
  <si>
    <t>Coverage by module</t>
  </si>
  <si>
    <t>Module</t>
  </si>
  <si>
    <t>Total</t>
  </si>
  <si>
    <t>Login</t>
  </si>
  <si>
    <t>Cart</t>
  </si>
  <si>
    <t>Checkout</t>
  </si>
  <si>
    <t>API</t>
  </si>
  <si>
    <t>Coverage by priority</t>
  </si>
  <si>
    <t>Priority</t>
  </si>
  <si>
    <t>Execution gate</t>
  </si>
  <si>
    <t>P0</t>
  </si>
  <si>
    <t>Automated P0 smoke on push/PR except known finding CART-019, which requires release review.</t>
  </si>
  <si>
    <t>P1</t>
  </si>
  <si>
    <t>Implemented regression, mobile and performance run weekly. Manual cases are outside CI.</t>
  </si>
  <si>
    <t>P2</t>
  </si>
  <si>
    <t>Automated findings reviewed separately; manual observations need a recheck when the area changes.</t>
  </si>
  <si>
    <t>Status legend</t>
  </si>
  <si>
    <t>Status</t>
  </si>
  <si>
    <t>Meaning</t>
  </si>
  <si>
    <t>Behaviour matches expected result</t>
  </si>
  <si>
    <t>Mismatch to stated expectation. Proposed rules need product agreement.</t>
  </si>
  <si>
    <t>Product has no stated rule; actual behaviour recorded for a product decision</t>
  </si>
  <si>
    <t>No execution evidence for the case.</t>
  </si>
  <si>
    <t>Case ID</t>
  </si>
  <si>
    <t>Title</t>
  </si>
  <si>
    <t>Type</t>
  </si>
  <si>
    <t>Preconditions</t>
  </si>
  <si>
    <t>Test data</t>
  </si>
  <si>
    <t>Steps</t>
  </si>
  <si>
    <t>Expected result</t>
  </si>
  <si>
    <t>Notes / Finding</t>
  </si>
  <si>
    <t>LOGIN-001</t>
  </si>
  <si>
    <t>Valid credentials sign in</t>
  </si>
  <si>
    <t>Functional</t>
  </si>
  <si>
    <t>Fresh anonymous context; registered account</t>
  </si>
  <si>
    <t>Valid username/password</t>
  </si>
  <si>
    <t>1. Open Login
2. Enter credentials
3. Submit</t>
  </si>
  <si>
    <t>Welcome &lt;username&gt; shown; login dialog closes</t>
  </si>
  <si>
    <t>Yes</t>
  </si>
  <si>
    <t>LOGIN-002</t>
  </si>
  <si>
    <t>Wrong password then correction</t>
  </si>
  <si>
    <t>Negative</t>
  </si>
  <si>
    <t>Registered account; anonymous context</t>
  </si>
  <si>
    <t>Correct username; wrong then correct password</t>
  </si>
  <si>
    <t>1. Submit wrong password
2. Dismiss alert
3. Correct password
4. Submit</t>
  </si>
  <si>
    <t>Alert "Wrong password."; corrected credentials sign in without reload</t>
  </si>
  <si>
    <t>LOGIN-003</t>
  </si>
  <si>
    <t>Unknown account</t>
  </si>
  <si>
    <t>Anonymous context</t>
  </si>
  <si>
    <t>Unregistered random username</t>
  </si>
  <si>
    <t>1. Submit credentials for unknown user</t>
  </si>
  <si>
    <t>Alert "User does not exist."; stays anonymous</t>
  </si>
  <si>
    <t>LOGIN-004</t>
  </si>
  <si>
    <t>Both fields empty</t>
  </si>
  <si>
    <t>Empty username and password</t>
  </si>
  <si>
    <t>1. Open Login
2. Submit empty form</t>
  </si>
  <si>
    <t>Alert "Please fill out Username and Password."; dialog stays open</t>
  </si>
  <si>
    <t>LOGIN-005</t>
  </si>
  <si>
    <t>Username empty</t>
  </si>
  <si>
    <t>Empty username; any password</t>
  </si>
  <si>
    <t>1. Enter only password
2. Submit</t>
  </si>
  <si>
    <t>Required-fields alert; no session</t>
  </si>
  <si>
    <t>LOGIN-006</t>
  </si>
  <si>
    <t>Password empty</t>
  </si>
  <si>
    <t>Username; empty password</t>
  </si>
  <si>
    <t>1. Enter only username
2. Submit</t>
  </si>
  <si>
    <t>LOGIN-007</t>
  </si>
  <si>
    <t>Whitespace-only credentials</t>
  </si>
  <si>
    <t>Edge</t>
  </si>
  <si>
    <t>Three spaces in each field</t>
  </si>
  <si>
    <t>1. Submit whitespace-only values</t>
  </si>
  <si>
    <t>Behaviour recorded; trimming policy to confirm with product</t>
  </si>
  <si>
    <t>No</t>
  </si>
  <si>
    <t>Returned "Wrong password." instead of the required-fields alert. No trimming. Decision open</t>
  </si>
  <si>
    <t>LOGIN-008</t>
  </si>
  <si>
    <t>Password field masked</t>
  </si>
  <si>
    <t>Any password</t>
  </si>
  <si>
    <t>1. Open Login
2. Inspect password input</t>
  </si>
  <si>
    <t>Input has type=password</t>
  </si>
  <si>
    <t>LOGIN-009</t>
  </si>
  <si>
    <t>Session survives reload</t>
  </si>
  <si>
    <t>Signed in</t>
  </si>
  <si>
    <t>Valid session</t>
  </si>
  <si>
    <t>1. Login
2. Reload page</t>
  </si>
  <si>
    <t>Welcome still shows same user</t>
  </si>
  <si>
    <t>LOGIN-010</t>
  </si>
  <si>
    <t>Logout clears session</t>
  </si>
  <si>
    <t>Existing session</t>
  </si>
  <si>
    <t>1. Logout
2. Reload
3. Inspect cookies</t>
  </si>
  <si>
    <t>Welcome gone after reload; tokenp_ cookie removed</t>
  </si>
  <si>
    <t>LOGIN-011</t>
  </si>
  <si>
    <t>Close login dialog without submitting</t>
  </si>
  <si>
    <t>Partially typed username</t>
  </si>
  <si>
    <t>1. Open Login
2. Type username
3. Close
4. Browse</t>
  </si>
  <si>
    <t>Dialog closes; browsing works; no session</t>
  </si>
  <si>
    <t>LOGIN-012</t>
  </si>
  <si>
    <t>Keyboard-only login</t>
  </si>
  <si>
    <t>Accessibility</t>
  </si>
  <si>
    <t>Anonymous context; keyboard only</t>
  </si>
  <si>
    <t>Valid credentials</t>
  </si>
  <si>
    <t>1. Tab to Log in and press Enter
2. Tab to username and type
3. Tab to password and type
4. Tab to Log in and press Enter
Note: Real key presses only, no pointer and no scripted focus. Option-Tab on macOS WebKit.</t>
  </si>
  <si>
    <t>Both inputs and submit reachable by keyboard; login succeeds without pointer input</t>
  </si>
  <si>
    <t>Desktop engines only. Initial focus is on the modal, not username; Tab reaches the link, both inputs and submit. macOS WebKit requires Option-Tab to reach links and buttons. Autofocus is a separate proposed improvement.</t>
  </si>
  <si>
    <t>LOGIN-013</t>
  </si>
  <si>
    <t>Username case sensitivity</t>
  </si>
  <si>
    <t>Registered mixed-case username</t>
  </si>
  <si>
    <t>QA_Case… then qa_case…</t>
  </si>
  <si>
    <t>1. Sign up mixed case
2. Login with lower case</t>
  </si>
  <si>
    <t>Behaviour recorded; policy confirmed with product</t>
  </si>
  <si>
    <t>Case-sensitive: lower-case login returns "User does not exist." Policy decision open</t>
  </si>
  <si>
    <t>LOGIN-014</t>
  </si>
  <si>
    <t>Long input stays usable</t>
  </si>
  <si>
    <t>256-char username and password</t>
  </si>
  <si>
    <t>1. Paste long inputs
2. Submit</t>
  </si>
  <si>
    <t>No layout break or crash; clear rejection</t>
  </si>
  <si>
    <t>Rejected with "Wrong password."; UI intact</t>
  </si>
  <si>
    <t>LOGIN-015</t>
  </si>
  <si>
    <t>Failed login request then retry</t>
  </si>
  <si>
    <t>Resilience</t>
  </si>
  <si>
    <t>Registered account; /login aborted once</t>
  </si>
  <si>
    <t>One aborted request</t>
  </si>
  <si>
    <t>1. Abort /login
2. Submit
3. Remove intercept
4. Submit again</t>
  </si>
  <si>
    <t>First attempt does not authenticate; retry succeeds</t>
  </si>
  <si>
    <t>Fault injection with page.route; runs on Chromium, Firefox and WebKit.</t>
  </si>
  <si>
    <t>LOGIN-016</t>
  </si>
  <si>
    <t>Malformed session token</t>
  </si>
  <si>
    <t>tokenp_ cookie set to junk</t>
  </si>
  <si>
    <t>bogus token</t>
  </si>
  <si>
    <t>1. Load homepage with malformed cookie</t>
  </si>
  <si>
    <t>User returned to anonymous state with a way to log in</t>
  </si>
  <si>
    <t>Malformed-token alert, then anonymous state. Expired token not covered.</t>
  </si>
  <si>
    <t>LOGIN-017</t>
  </si>
  <si>
    <t>Markup in username</t>
  </si>
  <si>
    <t>&lt;b&gt;qa-marker&lt;/b&gt;</t>
  </si>
  <si>
    <t>1. Submit markup as username</t>
  </si>
  <si>
    <t>Not rendered as HTML; user stays anonymous</t>
  </si>
  <si>
    <t>Alert "User does not exist."; no rendering</t>
  </si>
  <si>
    <t>LOGIN-018</t>
  </si>
  <si>
    <t>Mobile login usability</t>
  </si>
  <si>
    <t>Compatibility</t>
  </si>
  <si>
    <t>Mobile viewport</t>
  </si>
  <si>
    <t>1. Expand navbar
2. Login
3. Logout</t>
  </si>
  <si>
    <t>Controls reachable; correct identity shown</t>
  </si>
  <si>
    <t>Pixel 7 emulation, not a real device</t>
  </si>
  <si>
    <t>CART-001</t>
  </si>
  <si>
    <t>Add product when signed in</t>
  </si>
  <si>
    <t>Signed in; empty cart</t>
  </si>
  <si>
    <t>One catalog product</t>
  </si>
  <si>
    <t>1. Open product
2. Add to cart
3. Open Cart</t>
  </si>
  <si>
    <t>One row with same title/price; total equals price</t>
  </si>
  <si>
    <t>CART-002</t>
  </si>
  <si>
    <t>Guest add and view cart (via homepage)</t>
  </si>
  <si>
    <t>Fresh guest context; landed on homepage first</t>
  </si>
  <si>
    <t>One product</t>
  </si>
  <si>
    <t>1. Open homepage
2. Open product
3. Add
4. Open Cart</t>
  </si>
  <si>
    <t>Guest sees own item and correct total</t>
  </si>
  <si>
    <t>Works only when homepage set the guest cookie first. See CART-019 / F-006</t>
  </si>
  <si>
    <t>CART-003</t>
  </si>
  <si>
    <t>Multiple products total</t>
  </si>
  <si>
    <t>Two distinct products</t>
  </si>
  <si>
    <t>1. Add both
2. Open Cart</t>
  </si>
  <si>
    <t>Both rows correct; total equals sum</t>
  </si>
  <si>
    <t>CART-004</t>
  </si>
  <si>
    <t>Same product added twice</t>
  </si>
  <si>
    <t>One product, two deliberate adds</t>
  </si>
  <si>
    <t>1. Add
2. Dismiss alert
3. Add again
4. Open Cart</t>
  </si>
  <si>
    <t>Two rows; total is twice the price</t>
  </si>
  <si>
    <t>CART-005</t>
  </si>
  <si>
    <t>Delete one of several products</t>
  </si>
  <si>
    <t>Signed in; two items</t>
  </si>
  <si>
    <t>Two products</t>
  </si>
  <si>
    <t>1. Open Cart
2. Delete first product</t>
  </si>
  <si>
    <t>Only that row removed; total updated</t>
  </si>
  <si>
    <t>CART-006</t>
  </si>
  <si>
    <t>Delete last product</t>
  </si>
  <si>
    <t>Signed in; one item</t>
  </si>
  <si>
    <t>One row</t>
  </si>
  <si>
    <t>1. Delete row
2. Check UI and API</t>
  </si>
  <si>
    <t>No rows; total blank; /viewcart empty</t>
  </si>
  <si>
    <t>CART-007</t>
  </si>
  <si>
    <t>Cart survives reload</t>
  </si>
  <si>
    <t>1. Open Cart
2. Reload</t>
  </si>
  <si>
    <t>Row and total unchanged</t>
  </si>
  <si>
    <t>CART-008</t>
  </si>
  <si>
    <t>Cart survives logout and login</t>
  </si>
  <si>
    <t>Account with one item</t>
  </si>
  <si>
    <t>Same credentials</t>
  </si>
  <si>
    <t>1. Logout
2. Login
3. Open Cart</t>
  </si>
  <si>
    <t>Account cart restored</t>
  </si>
  <si>
    <t>1 row, total 360 before and after</t>
  </si>
  <si>
    <t>CART-009</t>
  </si>
  <si>
    <t>Guest cart after login</t>
  </si>
  <si>
    <t>Guest with one item; account with empty cart</t>
  </si>
  <si>
    <t>One guest item</t>
  </si>
  <si>
    <t>1. Add as guest
2. Login
3. Open Cart</t>
  </si>
  <si>
    <t>Merge/replace behaviour recorded; product decision</t>
  </si>
  <si>
    <t>Guest cart discarded; account cart shown (0 rows). No merge. Decision open</t>
  </si>
  <si>
    <t>CART-010</t>
  </si>
  <si>
    <t>Cart isolation between accounts</t>
  </si>
  <si>
    <t>Two accounts A and B</t>
  </si>
  <si>
    <t>Item added to A</t>
  </si>
  <si>
    <t>1. Read A
2. Read B
3. Delete from A</t>
  </si>
  <si>
    <t>B never sees A item; delete affects only A</t>
  </si>
  <si>
    <t>CART-011</t>
  </si>
  <si>
    <t>Two tabs, same account</t>
  </si>
  <si>
    <t>Two tabs in one session</t>
  </si>
  <si>
    <t>1. Add in tab A
2. Add in tab B
3. Delete in B
4. Refresh A</t>
  </si>
  <si>
    <t>Tabs converge after refresh</t>
  </si>
  <si>
    <t>Tab A stale until refresh, then matches (1 row, 650)</t>
  </si>
  <si>
    <t>CART-012</t>
  </si>
  <si>
    <t>Empty cart presentation</t>
  </si>
  <si>
    <t>None</t>
  </si>
  <si>
    <t>1. Open Cart</t>
  </si>
  <si>
    <t>Proposed acceptance: Empty-state message; Place Order disabled or guarded</t>
  </si>
  <si>
    <t>Blank table, no message, Place Order enabled. Contributes to F-001</t>
  </si>
  <si>
    <t>CART-013</t>
  </si>
  <si>
    <t>Rapid triple-click Add to cart</t>
  </si>
  <si>
    <t>Signed in or guest; empty cart</t>
  </si>
  <si>
    <t>One product; 3 rapid clicks</t>
  </si>
  <si>
    <t>1. Triple-click Add
2. Open Cart</t>
  </si>
  <si>
    <t>Behaviour recorded; debounce decision</t>
  </si>
  <si>
    <t>3 requests, 3 alerts, 3 rows. No debounce. Decision open</t>
  </si>
  <si>
    <t>CART-014</t>
  </si>
  <si>
    <t>Failed delete keeps item</t>
  </si>
  <si>
    <t>One item; /deleteitem returns 503</t>
  </si>
  <si>
    <t>503 response</t>
  </si>
  <si>
    <t>1. Click Delete
2. Reload with normal network</t>
  </si>
  <si>
    <t>Item remains; no false removal</t>
  </si>
  <si>
    <t>Row still present after 503 and after reload</t>
  </si>
  <si>
    <t>CART-015</t>
  </si>
  <si>
    <t>Failed add then explicit retry</t>
  </si>
  <si>
    <t>Signed in; /addtocart aborted once</t>
  </si>
  <si>
    <t>1. Add (aborted)
2. Check API
3. Retry</t>
  </si>
  <si>
    <t>First add creates nothing; retry creates exactly one</t>
  </si>
  <si>
    <t>CART-016</t>
  </si>
  <si>
    <t>Slow cart load</t>
  </si>
  <si>
    <t>Two items; /viewcart delayed 3 s</t>
  </si>
  <si>
    <t>3 s delay</t>
  </si>
  <si>
    <t>1. Open Cart
2. Observe during delay
3. Observe after</t>
  </si>
  <si>
    <t>Final rows and total correct; loading behaviour recorded</t>
  </si>
  <si>
    <t>Blank table for 3 s looks like an empty cart, no loading indicator. Final state correct (2 rows, 1180). Decision open</t>
  </si>
  <si>
    <t>CART-017</t>
  </si>
  <si>
    <t>Mobile cart controls</t>
  </si>
  <si>
    <t>Mobile viewport; items in cart</t>
  </si>
  <si>
    <t>1. View Cart
2. Delete
3. Open Place Order</t>
  </si>
  <si>
    <t>Two correct rows and total; deletion leaves the other row and correct amount; Place Order opens with matching total</t>
  </si>
  <si>
    <t>Explicit mobile journey. Pixel 7 emulation; visual readability and real-device testing are separate.</t>
  </si>
  <si>
    <t>CART-018</t>
  </si>
  <si>
    <t>Delete one of two duplicate rows</t>
  </si>
  <si>
    <t>Same product twice</t>
  </si>
  <si>
    <t>Duplicate rows</t>
  </si>
  <si>
    <t>1. Delete one row
2. Refresh</t>
  </si>
  <si>
    <t>Exactly one remains; total equals one price</t>
  </si>
  <si>
    <t>2 rows 720 -&gt; 1 row 360, stable after reload</t>
  </si>
  <si>
    <t>CART-019</t>
  </si>
  <si>
    <t>Guest landing directly on product page</t>
  </si>
  <si>
    <t>Two fresh guest contexts; no homepage visit</t>
  </si>
  <si>
    <t>Deep link prod.html?idp_=1</t>
  </si>
  <si>
    <t>1. Guest A opens product URL directly and adds
2. Guest B opens cart.html</t>
  </si>
  <si>
    <t>Each guest has a private cart</t>
  </si>
  <si>
    <t>F-006. Tagged @known-bug. Compares exact test-owned row across guests. Finally deletes only that row; never clears shared guest cart.</t>
  </si>
  <si>
    <t>ORDER-001</t>
  </si>
  <si>
    <t>Complete purchase journey</t>
  </si>
  <si>
    <t>Registered account; empty cart</t>
  </si>
  <si>
    <t>One product; synthetic buyer</t>
  </si>
  <si>
    <t>1. Login via UI
2. Open product
3. Add
4. Cart
5. Place Order
6. Fill
7. Purchase</t>
  </si>
  <si>
    <t>Confirmation shows correct amount, name, an ID; cart empty afterwards</t>
  </si>
  <si>
    <t>Demo scenario</t>
  </si>
  <si>
    <t>ORDER-002</t>
  </si>
  <si>
    <t>Multi-item checkout total</t>
  </si>
  <si>
    <t>Signed in; three items</t>
  </si>
  <si>
    <t>Three products</t>
  </si>
  <si>
    <t>1. Open Cart
2. Place Order
3. Purchase</t>
  </si>
  <si>
    <t>Modal total and confirmation amount equal sum of three prices; cart cleared</t>
  </si>
  <si>
    <t>ORDER-003</t>
  </si>
  <si>
    <t>Missing buyer name</t>
  </si>
  <si>
    <t>One item</t>
  </si>
  <si>
    <t>Name empty</t>
  </si>
  <si>
    <t>1. Place Order
2. Leave name blank
3. Purchase</t>
  </si>
  <si>
    <t>Alert "Please fill out Name and Creditcard."; cart kept</t>
  </si>
  <si>
    <t>ORDER-004</t>
  </si>
  <si>
    <t>Missing card</t>
  </si>
  <si>
    <t>Card empty</t>
  </si>
  <si>
    <t>1. Place Order
2. Leave card blank
3. Purchase</t>
  </si>
  <si>
    <t>Same alert; cart kept</t>
  </si>
  <si>
    <t>ORDER-005</t>
  </si>
  <si>
    <t>Whitespace name and card</t>
  </si>
  <si>
    <t>Three spaces each</t>
  </si>
  <si>
    <t>1. Place Order
2. Fill spaces
3. Purchase</t>
  </si>
  <si>
    <t>Proposed acceptance: Rejected as empty</t>
  </si>
  <si>
    <t>Success popup shown with blank name/card. Part of F-004</t>
  </si>
  <si>
    <t>ORDER-006</t>
  </si>
  <si>
    <t>Cancel checkout keeps cart</t>
  </si>
  <si>
    <t>Filled form</t>
  </si>
  <si>
    <t>1. Place Order
2. Fill
3. Close</t>
  </si>
  <si>
    <t>Modal closes; cart unchanged</t>
  </si>
  <si>
    <t>ORDER-007</t>
  </si>
  <si>
    <t>Cart empty after purchase</t>
  </si>
  <si>
    <t>Completed purchase</t>
  </si>
  <si>
    <t>1. Purchase
2. OK
3. Open Cart</t>
  </si>
  <si>
    <t>No rows; API cart empty</t>
  </si>
  <si>
    <t>ORDER-008</t>
  </si>
  <si>
    <t>Invalid card format</t>
  </si>
  <si>
    <t>"not-a-card-number" and "1"</t>
  </si>
  <si>
    <t>1. Place Order
2. Enter invalid card
3. Purchase</t>
  </si>
  <si>
    <t>Proposed acceptance: Rejected with format message</t>
  </si>
  <si>
    <t>F-004: both accepted, success popup shown</t>
  </si>
  <si>
    <t>ORDER-009</t>
  </si>
  <si>
    <t>Expired card date</t>
  </si>
  <si>
    <t>Month 01, year 2000</t>
  </si>
  <si>
    <t>1. Place Order
2. Enter expired date
3. Purchase</t>
  </si>
  <si>
    <t>Proposed acceptance: Rejected</t>
  </si>
  <si>
    <t>F-005: accepted</t>
  </si>
  <si>
    <t>ORDER-010</t>
  </si>
  <si>
    <t>Empty cart cannot be purchased</t>
  </si>
  <si>
    <t>Valid buyer data</t>
  </si>
  <si>
    <t>1. Open Cart
2. Place Order
3. Fill
4. Purchase</t>
  </si>
  <si>
    <t>Proposed acceptance: Blocked; no confirmation</t>
  </si>
  <si>
    <t>F-001: success popup, Amount 0 USD</t>
  </si>
  <si>
    <t>ORDER-011</t>
  </si>
  <si>
    <t>Receipt date correct</t>
  </si>
  <si>
    <t>Browser date</t>
  </si>
  <si>
    <t>1. Purchase
2. Compare Date on popup to browser date</t>
  </si>
  <si>
    <t>Matches d/m/yyyy of today</t>
  </si>
  <si>
    <t>F-002: month off by one (30/8/2026 on 30 Sep)</t>
  </si>
  <si>
    <t>ORDER-012</t>
  </si>
  <si>
    <t>Failed completion request</t>
  </si>
  <si>
    <t>One item; /deletecart returns 503</t>
  </si>
  <si>
    <t>1. Fill checkout
2. Purchase</t>
  </si>
  <si>
    <t>Proposed acceptance: No success claim; cart kept; retry possible</t>
  </si>
  <si>
    <t>F-003 High: success popup shown while API still has the item</t>
  </si>
  <si>
    <t>ORDER-013</t>
  </si>
  <si>
    <t>Double-click Purchase</t>
  </si>
  <si>
    <t>Two rapid clicks</t>
  </si>
  <si>
    <t>1. Fill checkout
2. Double-click Purchase</t>
  </si>
  <si>
    <t>Proposed acceptance: One completion request; one popup</t>
  </si>
  <si>
    <t>F-008: two /deletecart requests sent, one popup</t>
  </si>
  <si>
    <t>ORDER-014</t>
  </si>
  <si>
    <t>Optional address fields</t>
  </si>
  <si>
    <t>Country and city blank</t>
  </si>
  <si>
    <t>1. Fill only name and card
2. Purchase</t>
  </si>
  <si>
    <t>Policy confirmed with product</t>
  </si>
  <si>
    <t>Accepted; only name and card are checked. Policy open</t>
  </si>
  <si>
    <t>ORDER-015</t>
  </si>
  <si>
    <t>Card number on confirmation</t>
  </si>
  <si>
    <t>Privacy</t>
  </si>
  <si>
    <t>4111111111111111</t>
  </si>
  <si>
    <t>1. Purchase
2. Read popup</t>
  </si>
  <si>
    <t>Proposed acceptance: Card masked or omitted</t>
  </si>
  <si>
    <t>F-007: full card number printed in plain text</t>
  </si>
  <si>
    <t>API-001</t>
  </si>
  <si>
    <t>Catalog contract</t>
  </si>
  <si>
    <t>GET /entries</t>
  </si>
  <si>
    <t>1. GET /entries</t>
  </si>
  <si>
    <t>Items array; unique numeric ids; non-empty titles; positive prices</t>
  </si>
  <si>
    <t>API-002</t>
  </si>
  <si>
    <t>Login business error on HTTP 200</t>
  </si>
  <si>
    <t>Registered account</t>
  </si>
  <si>
    <t>Wrong password</t>
  </si>
  <si>
    <t>1. POST /login</t>
  </si>
  <si>
    <t>HTTP 200 with {errorMessage: "Wrong password."}</t>
  </si>
  <si>
    <t>API-003</t>
  </si>
  <si>
    <t>Cart mutation lifecycle and isolation</t>
  </si>
  <si>
    <t>Two accounts</t>
  </si>
  <si>
    <t>1. addtocart A
2. viewcart A and B
3. deleteitem</t>
  </si>
  <si>
    <t>A sees item; B empty; delete removes it</t>
  </si>
  <si>
    <t>API-004</t>
  </si>
  <si>
    <t>Token validation</t>
  </si>
  <si>
    <t>Valid token; "not-a-token"</t>
  </si>
  <si>
    <t>1. POST /check with valid token
2. POST /check and /viewcart with malformed token</t>
  </si>
  <si>
    <t>Valid token returns its owner; malformed token returns {errorMessage: "Bad parameter, token malformed."}</t>
  </si>
  <si>
    <t>API-005</t>
  </si>
  <si>
    <t>Missing required parameters</t>
  </si>
  <si>
    <t>Bodies without cookie / username</t>
  </si>
  <si>
    <t>1. POST /viewcart without cookie
2. POST /login without username</t>
  </si>
  <si>
    <t>HTTP 200 with errorMessage naming the missing parameter</t>
  </si>
  <si>
    <t>API-006</t>
  </si>
  <si>
    <t>Unknown cart row and product IDs</t>
  </si>
  <si>
    <t>Random UUID; product id 999999999</t>
  </si>
  <si>
    <t>1. POST /deleteitem with unknown id
2. POST /view with unknown id</t>
  </si>
  <si>
    <t>{errorMessage: "Not found."}</t>
  </si>
  <si>
    <t>API-007</t>
  </si>
  <si>
    <t>Empty credential and token values</t>
  </si>
  <si>
    <t>Empty strings</t>
  </si>
  <si>
    <t>1. POST /login with empty username and password
2. POST /check with empty token
3. POST /viewcart with empty cookie, flag true</t>
  </si>
  <si>
    <t>Business error like the missing-parameter case; no server error</t>
  </si>
  <si>
    <t>F-009: each request returns HTTP 500. Found 1 October 2026.</t>
  </si>
  <si>
    <t>Finding</t>
  </si>
  <si>
    <t>Severity</t>
  </si>
  <si>
    <t>Cases</t>
  </si>
  <si>
    <t>Reproduction</t>
  </si>
  <si>
    <t>Actual</t>
  </si>
  <si>
    <t>Root cause / Recommendation</t>
  </si>
  <si>
    <t>Evidence</t>
  </si>
  <si>
    <t>F-006</t>
  </si>
  <si>
    <t>Deep-linked guests share one global cart</t>
  </si>
  <si>
    <t>Critical</t>
  </si>
  <si>
    <t>Open prod.html?idp_=1 in a fresh browser, add; open cart.html in another fresh browser</t>
  </si>
  <si>
    <t>Guest B sees the item Guest A added. Both requests send cookie:"" so they read and write the same cart.</t>
  </si>
  <si>
    <t>Only index.html sets the guest cookie; prod.html sends cookie:"". Set guest identity in a shared bootstrap script; API must reject empty identity</t>
  </si>
  <si>
    <t>docs/evidence/F-006.png; automated</t>
  </si>
  <si>
    <t>F-003</t>
  </si>
  <si>
    <t>Success shown when completion request fails</t>
  </si>
  <si>
    <t>High</t>
  </si>
  <si>
    <t>Return 503 from /deletecart, click Purchase</t>
  </si>
  <si>
    <t>"Thank you for your purchase!" while API still holds the item</t>
  </si>
  <si>
    <t>Await completion; render pending/failed/success; keep cart on failure</t>
  </si>
  <si>
    <t>docs/evidence/F-003.png; automated</t>
  </si>
  <si>
    <t>F-001</t>
  </si>
  <si>
    <t>Empty cart can be purchased</t>
  </si>
  <si>
    <t>Medium</t>
  </si>
  <si>
    <t>ORDER-010, CART-012</t>
  </si>
  <si>
    <t>Empty cart, Place Order, fill, Purchase</t>
  </si>
  <si>
    <t>Success popup, Amount: 0 USD</t>
  </si>
  <si>
    <t>Disable Place Order when empty; revalidate on submit; add empty-state message</t>
  </si>
  <si>
    <t>docs/evidence/F-001.png; automated</t>
  </si>
  <si>
    <t>F-004</t>
  </si>
  <si>
    <t>Card and name accept any text</t>
  </si>
  <si>
    <t>ORDER-005, ORDER-008</t>
  </si>
  <si>
    <t>Card "not-a-card-number", "1", or spaces; name spaces</t>
  </si>
  <si>
    <t>Success popup</t>
  </si>
  <si>
    <t>Proposed acceptance: trim and validate after agreeing payment-field requirements.</t>
  </si>
  <si>
    <t>docs/evidence/F-004.png; automated</t>
  </si>
  <si>
    <t>F-005</t>
  </si>
  <si>
    <t>Expired card date accepted</t>
  </si>
  <si>
    <t>Proposed acceptance: validate expiry after agreeing the checkout contract.</t>
  </si>
  <si>
    <t>docs/evidence/F-005.png; automated</t>
  </si>
  <si>
    <t>F-007</t>
  </si>
  <si>
    <t>Full card number shown on confirmation</t>
  </si>
  <si>
    <t>Any purchase</t>
  </si>
  <si>
    <t>Popup prints Card Number: 4111111111111111</t>
  </si>
  <si>
    <t>Proposed acceptance: mask to last four digits or omit.</t>
  </si>
  <si>
    <t>docs/evidence/F-007.png; manual</t>
  </si>
  <si>
    <t>F-002</t>
  </si>
  <si>
    <t>Receipt month off by one</t>
  </si>
  <si>
    <t>Low</t>
  </si>
  <si>
    <t>Purchase on 30 Sep 2026</t>
  </si>
  <si>
    <t>Date: 30/8/2026</t>
  </si>
  <si>
    <t>Use getMonth()+1 or a date formatter; test Jan/Dec</t>
  </si>
  <si>
    <t>docs/evidence/F-002.png; automated</t>
  </si>
  <si>
    <t>F-008</t>
  </si>
  <si>
    <t>Double-click Purchase sends two requests</t>
  </si>
  <si>
    <t>Two /deletecart requests, one popup</t>
  </si>
  <si>
    <t>Duplicate submission risk. Disable pending button and require idempotent order handling if orders are introduced.</t>
  </si>
  <si>
    <t>Manual observation; no recording kept</t>
  </si>
  <si>
    <t>F-009</t>
  </si>
  <si>
    <t>Empty credential or token values cause a server error</t>
  </si>
  <si>
    <t>POST empty username/password to /login, empty token to /check, or empty cookie to /viewcart</t>
  </si>
  <si>
    <t>HTTP 500 with an HTML error page; missing or malformed values return a business error</t>
  </si>
  <si>
    <t>Validate empty strings like missing parameters and return the existing errorMessage shape</t>
  </si>
  <si>
    <t>docs/evidence/known-bugs.json; automated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</si>
</sst>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</font>
    <font>
      <b/>
      <sz val="11"/>
      <color rgb="FFFFFFFF"/>
      <name val="Calibri"/>
      <family val="2"/>
    </font>
    <font>
      <b/>
      <sz val="20"/>
      <color rgb="FFFFFFFF"/>
      <name val="Calibri"/>
      <family val="2"/>
    </font>
    <font>
      <sz val="11"/>
      <color rgb="FFFFFFFF"/>
      <name val="Calibri"/>
      <family val="2"/>
    </font>
    <font>
      <b/>
      <sz val="12"/>
      <color rgb="FF1F4E78"/>
      <name val="Calibri"/>
      <family val="2"/>
    </font>
    <font>
      <b/>
      <sz val="10"/>
      <color rgb="FFFFFFFF"/>
      <name val="Calibri"/>
      <family val="2"/>
    </font>
    <font>
      <b/>
      <sz val="22"/>
      <color rgb="FFFFFFFF"/>
      <name val="Calibri"/>
      <family val="2"/>
    </font>
    <font>
      <b/>
      <sz val="10"/>
      <color rgb="FF1F4E78"/>
      <name val="Calibri"/>
      <family val="2"/>
    </font>
    <font>
      <b/>
      <sz val="22"/>
      <color rgb="FF1F4E78"/>
      <name val="Calibri"/>
      <family val="2"/>
    </font>
    <font>
      <b/>
      <sz val="10"/>
      <color rgb="FF006100"/>
      <name val="Calibri"/>
      <family val="2"/>
    </font>
    <font>
      <b/>
      <sz val="22"/>
      <color rgb="FF006100"/>
      <name val="Calibri"/>
      <family val="2"/>
    </font>
    <font>
      <b/>
      <sz val="10"/>
      <color rgb="FF9C0006"/>
      <name val="Calibri"/>
      <family val="2"/>
    </font>
    <font>
      <b/>
      <sz val="22"/>
      <color rgb="FF9C0006"/>
      <name val="Calibri"/>
      <family val="2"/>
    </font>
    <font>
      <b/>
      <sz val="10"/>
      <color rgb="FF7F6000"/>
      <name val="Calibri"/>
      <family val="2"/>
    </font>
    <font>
      <b/>
      <sz val="22"/>
      <color rgb="FF7F6000"/>
      <name val="Calibri"/>
      <family val="2"/>
    </font>
    <font>
      <b/>
      <sz val="10"/>
      <color rgb="FF404040"/>
      <name val="Calibri"/>
      <family val="2"/>
    </font>
    <font>
      <b/>
      <sz val="22"/>
      <color rgb="FF404040"/>
      <name val="Calibri"/>
      <family val="2"/>
    </font>
    <font>
      <b/>
      <sz val="11"/>
      <color rgb="FF1F2937"/>
      <name val="Calibri"/>
      <family val="2"/>
    </font>
    <font>
      <sz val="11"/>
      <color rgb="FF1F2937"/>
      <name val="Calibri"/>
      <family val="2"/>
    </font>
    <font>
      <u/>
      <sz val="11"/>
      <color rgb="FF0563C1"/>
      <name val="Calibri"/>
      <family val="2"/>
    </font>
    <font>
      <b/>
      <sz val="11"/>
      <color rgb="FFFFFFFF"/>
      <name val="Calibri"/>
      <family val="2"/>
    </font>
    <font>
      <sz val="10"/>
      <color rgb="FF1F2937"/>
      <name val="Calibri"/>
      <family val="2"/>
    </font>
    <font>
      <b/>
      <sz val="11"/>
      <color rgb="FF006100"/>
      <name val="Calibri"/>
      <family val="2"/>
    </font>
    <font>
      <b/>
      <sz val="11"/>
      <color rgb="FF9C0006"/>
      <name val="Calibri"/>
      <family val="2"/>
    </font>
    <font>
      <b/>
      <sz val="11"/>
      <color rgb="FF7F6000"/>
      <name val="Calibri"/>
      <family val="2"/>
    </font>
    <font>
      <b/>
      <sz val="11"/>
      <color rgb="FF40404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9D9D9"/>
      </patternFill>
    </fill>
    <fill>
      <patternFill patternType="solid">
        <fgColor rgb="FFF7FAFD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F4E78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5" fillId="3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5" fillId="9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9" fontId="8" fillId="5" borderId="3" xfId="0" applyNumberFormat="1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left" vertical="center" wrapText="1" indent="1"/>
    </xf>
    <xf numFmtId="0" fontId="20" fillId="3" borderId="4" xfId="0" applyFont="1" applyFill="1" applyBorder="1" applyAlignment="1">
      <alignment horizontal="left" vertical="center" wrapText="1" indent="1"/>
    </xf>
    <xf numFmtId="0" fontId="20" fillId="3" borderId="4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center" wrapText="1" indent="1"/>
    </xf>
    <xf numFmtId="0" fontId="18" fillId="0" borderId="4" xfId="0" applyFont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left" vertical="center" wrapText="1" indent="1"/>
    </xf>
    <xf numFmtId="0" fontId="18" fillId="10" borderId="4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0" fontId="22" fillId="6" borderId="4" xfId="0" applyFont="1" applyFill="1" applyBorder="1" applyAlignment="1">
      <alignment horizontal="left" vertical="center" wrapText="1" indent="1"/>
    </xf>
    <xf numFmtId="0" fontId="23" fillId="7" borderId="4" xfId="0" applyFont="1" applyFill="1" applyBorder="1" applyAlignment="1">
      <alignment horizontal="left" vertical="center" wrapText="1" indent="1"/>
    </xf>
    <xf numFmtId="0" fontId="24" fillId="8" borderId="4" xfId="0" applyFont="1" applyFill="1" applyBorder="1" applyAlignment="1">
      <alignment horizontal="left" vertical="center" wrapText="1" indent="1"/>
    </xf>
    <xf numFmtId="0" fontId="25" fillId="9" borderId="4" xfId="0" applyFont="1" applyFill="1" applyBorder="1" applyAlignment="1">
      <alignment horizontal="left" vertical="center" wrapText="1" indent="1"/>
    </xf>
    <xf numFmtId="0" fontId="18" fillId="0" borderId="4" xfId="0" applyFont="1" applyBorder="1" applyAlignment="1">
      <alignment horizontal="left" vertical="center" wrapText="1" indent="1"/>
    </xf>
    <xf numFmtId="0" fontId="0" fillId="0" borderId="5" xfId="0" applyBorder="1"/>
    <xf numFmtId="0" fontId="0" fillId="0" borderId="6" xfId="0" applyBorder="1"/>
    <xf numFmtId="0" fontId="21" fillId="10" borderId="4" xfId="0" applyFont="1" applyFill="1" applyBorder="1" applyAlignment="1">
      <alignment horizontal="left" vertical="center" wrapText="1" indent="1"/>
    </xf>
    <xf numFmtId="0" fontId="4" fillId="0" borderId="2" xfId="0" applyFont="1" applyBorder="1" applyAlignment="1">
      <alignment vertical="center"/>
    </xf>
    <xf numFmtId="0" fontId="0" fillId="0" borderId="2" xfId="0" applyBorder="1"/>
    <xf numFmtId="0" fontId="3" fillId="4" borderId="0" xfId="0" applyFont="1" applyFill="1" applyAlignment="1">
      <alignment horizontal="left" vertical="center" indent="1"/>
    </xf>
    <xf numFmtId="0" fontId="0" fillId="0" borderId="0" xfId="0"/>
    <xf numFmtId="0" fontId="20" fillId="3" borderId="4" xfId="0" applyFont="1" applyFill="1" applyBorder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indent="1"/>
    </xf>
    <xf numFmtId="0" fontId="21" fillId="0" borderId="4" xfId="0" applyFont="1" applyBorder="1" applyAlignment="1">
      <alignment horizontal="left" vertical="center" wrapText="1" indent="1"/>
    </xf>
    <xf numFmtId="0" fontId="19" fillId="0" borderId="4" xfId="0" applyFont="1" applyBorder="1" applyAlignment="1">
      <alignment horizontal="left" vertical="center" wrapText="1" indent="1"/>
    </xf>
  </cellXfs>
  <cellStyles count="1">
    <cellStyle name="Normal" xfId="0" builtinId="0"/>
  </cellStyles>
  <dxfs count="4">
    <dxf>
      <fill>
        <patternFill>
          <bgColor rgb="FFD9D9D9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Cases" displayName="TestCases" ref="A1:L60">
  <autoFilter ref="A1:L60" xr:uid="{00000000-0009-0000-0100-000001000000}"/>
  <tableColumns count="12">
    <tableColumn id="1" xr3:uid="{00000000-0010-0000-0000-000001000000}" name="Case ID"/>
    <tableColumn id="2" xr3:uid="{00000000-0010-0000-0000-000002000000}" name="Module"/>
    <tableColumn id="3" xr3:uid="{00000000-0010-0000-0000-000003000000}" name="Title"/>
    <tableColumn id="4" xr3:uid="{00000000-0010-0000-0000-000004000000}" name="Priority"/>
    <tableColumn id="5" xr3:uid="{00000000-0010-0000-0000-000005000000}" name="Type"/>
    <tableColumn id="6" xr3:uid="{00000000-0010-0000-0000-000006000000}" name="Preconditions"/>
    <tableColumn id="7" xr3:uid="{00000000-0010-0000-0000-000007000000}" name="Test data"/>
    <tableColumn id="8" xr3:uid="{00000000-0010-0000-0000-000008000000}" name="Steps"/>
    <tableColumn id="9" xr3:uid="{00000000-0010-0000-0000-000009000000}" name="Expected result"/>
    <tableColumn id="10" xr3:uid="{00000000-0010-0000-0000-00000A000000}" name="Automated"/>
    <tableColumn id="11" xr3:uid="{00000000-0010-0000-0000-00000B000000}" name="Status"/>
    <tableColumn id="12" xr3:uid="{00000000-0010-0000-0000-00000C000000}" name="Notes / Find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" displayName="Findings" ref="A1:I10">
  <autoFilter ref="A1:I10" xr:uid="{00000000-0009-0000-0100-000002000000}"/>
  <tableColumns count="9">
    <tableColumn id="1" xr3:uid="{00000000-0010-0000-0100-000001000000}" name="Finding"/>
    <tableColumn id="2" xr3:uid="{00000000-0010-0000-0100-000002000000}" name="Title"/>
    <tableColumn id="3" xr3:uid="{00000000-0010-0000-0100-000003000000}" name="Severity"/>
    <tableColumn id="4" xr3:uid="{00000000-0010-0000-0100-000004000000}" name="Priority"/>
    <tableColumn id="5" xr3:uid="{00000000-0010-0000-0100-000005000000}" name="Cases"/>
    <tableColumn id="6" xr3:uid="{00000000-0010-0000-0100-000006000000}" name="Reproduction"/>
    <tableColumn id="7" xr3:uid="{00000000-0010-0000-0100-000007000000}" name="Actual"/>
    <tableColumn id="8" xr3:uid="{00000000-0010-0000-0100-000008000000}" name="Root cause / Recommendation"/>
    <tableColumn id="9" xr3:uid="{00000000-0010-0000-0100-000009000000}" name="Ev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emoblaz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B2:I36"/>
  <sheetViews>
    <sheetView showGridLines="0" workbookViewId="0"/>
  </sheetViews>
  <sheetFormatPr baseColWidth="10" defaultColWidth="8.83203125" defaultRowHeight="15" x14ac:dyDescent="0.2"/>
  <cols>
    <col min="1" max="1" width="2.5" customWidth="1"/>
    <col min="2" max="2" width="24" customWidth="1"/>
    <col min="3" max="9" width="15.5" customWidth="1"/>
    <col min="10" max="10" width="2.5" customWidth="1"/>
  </cols>
  <sheetData>
    <row r="2" spans="2:9" ht="26" customHeight="1" x14ac:dyDescent="0.2">
      <c r="B2" s="39" t="s">
        <v>0</v>
      </c>
      <c r="C2" s="37"/>
      <c r="D2" s="37"/>
      <c r="E2" s="37"/>
      <c r="F2" s="37"/>
      <c r="G2" s="37"/>
      <c r="H2" s="37"/>
      <c r="I2" s="37"/>
    </row>
    <row r="3" spans="2:9" x14ac:dyDescent="0.2">
      <c r="B3" s="36" t="s">
        <v>1</v>
      </c>
      <c r="C3" s="37"/>
      <c r="D3" s="37"/>
      <c r="E3" s="37"/>
      <c r="F3" s="37"/>
      <c r="G3" s="37"/>
      <c r="H3" s="37"/>
      <c r="I3" s="37"/>
    </row>
    <row r="5" spans="2:9" ht="16" customHeight="1" x14ac:dyDescent="0.2">
      <c r="B5" s="34" t="s">
        <v>2</v>
      </c>
      <c r="C5" s="35"/>
      <c r="D5" s="35"/>
      <c r="E5" s="35"/>
      <c r="F5" s="35"/>
      <c r="G5" s="35"/>
      <c r="H5" s="35"/>
      <c r="I5" s="35"/>
    </row>
    <row r="7" spans="2:9" x14ac:dyDescent="0.2">
      <c r="B7" s="3" t="s">
        <v>3</v>
      </c>
      <c r="C7" s="4" t="s">
        <v>4</v>
      </c>
      <c r="D7" s="5" t="s">
        <v>5</v>
      </c>
      <c r="E7" s="5" t="s">
        <v>6</v>
      </c>
      <c r="F7" s="6" t="s">
        <v>7</v>
      </c>
      <c r="G7" s="7" t="s">
        <v>8</v>
      </c>
      <c r="H7" s="8" t="s">
        <v>9</v>
      </c>
      <c r="I7" s="9" t="s">
        <v>10</v>
      </c>
    </row>
    <row r="8" spans="2:9" ht="29" customHeight="1" x14ac:dyDescent="0.2">
      <c r="B8" s="10">
        <f>COUNTA(TestCases[Case ID])</f>
        <v>59</v>
      </c>
      <c r="C8" s="11">
        <f>COUNTIF(TestCases[Automated],"Yes")</f>
        <v>40</v>
      </c>
      <c r="D8" s="12">
        <f>COUNTIFS(TestCases[Automated],"No",TestCases[Status],"&lt;&gt;Not executed")</f>
        <v>19</v>
      </c>
      <c r="E8" s="13">
        <f>IF(B8=0,0,C8/B8)</f>
        <v>0.67796610169491522</v>
      </c>
      <c r="F8" s="14">
        <f>COUNTIF(TestCases[Status],"Passed")</f>
        <v>42</v>
      </c>
      <c r="G8" s="15">
        <f>COUNTIF(TestCases[Status],"Failed")</f>
        <v>11</v>
      </c>
      <c r="H8" s="16">
        <f>COUNTIF(TestCases[Status],"Observed")</f>
        <v>6</v>
      </c>
      <c r="I8" s="17">
        <f>COUNTIF(TestCases[Status],"Not executed")</f>
        <v>0</v>
      </c>
    </row>
    <row r="10" spans="2:9" ht="16" customHeight="1" x14ac:dyDescent="0.2">
      <c r="B10" s="34" t="s">
        <v>11</v>
      </c>
      <c r="C10" s="35"/>
      <c r="D10" s="35"/>
      <c r="E10" s="35"/>
      <c r="F10" s="35"/>
      <c r="G10" s="35"/>
      <c r="H10" s="35"/>
      <c r="I10" s="35"/>
    </row>
    <row r="11" spans="2:9" ht="16" customHeight="1" x14ac:dyDescent="0.2">
      <c r="B11" s="18" t="s">
        <v>12</v>
      </c>
      <c r="C11" s="41" t="s">
        <v>13</v>
      </c>
      <c r="D11" s="31"/>
      <c r="E11" s="31"/>
      <c r="F11" s="31"/>
      <c r="G11" s="31"/>
      <c r="H11" s="31"/>
      <c r="I11" s="32"/>
    </row>
    <row r="12" spans="2:9" ht="16" customHeight="1" x14ac:dyDescent="0.2">
      <c r="B12" s="18" t="s">
        <v>14</v>
      </c>
      <c r="C12" s="30" t="s">
        <v>15</v>
      </c>
      <c r="D12" s="31"/>
      <c r="E12" s="31"/>
      <c r="F12" s="31"/>
      <c r="G12" s="31"/>
      <c r="H12" s="31"/>
      <c r="I12" s="32"/>
    </row>
    <row r="13" spans="2:9" ht="16" customHeight="1" x14ac:dyDescent="0.2">
      <c r="B13" s="18" t="s">
        <v>16</v>
      </c>
      <c r="C13" s="30" t="s">
        <v>17</v>
      </c>
      <c r="D13" s="31"/>
      <c r="E13" s="31"/>
      <c r="F13" s="31"/>
      <c r="G13" s="31"/>
      <c r="H13" s="31"/>
      <c r="I13" s="32"/>
    </row>
    <row r="14" spans="2:9" ht="16" customHeight="1" x14ac:dyDescent="0.2">
      <c r="B14" s="18" t="s">
        <v>18</v>
      </c>
      <c r="C14" s="30" t="s">
        <v>19</v>
      </c>
      <c r="D14" s="31"/>
      <c r="E14" s="31"/>
      <c r="F14" s="31"/>
      <c r="G14" s="31"/>
      <c r="H14" s="31"/>
      <c r="I14" s="32"/>
    </row>
    <row r="15" spans="2:9" ht="16" customHeight="1" x14ac:dyDescent="0.2">
      <c r="B15" s="18" t="s">
        <v>20</v>
      </c>
      <c r="C15" s="30" t="s">
        <v>21</v>
      </c>
      <c r="D15" s="31"/>
      <c r="E15" s="31"/>
      <c r="F15" s="31"/>
      <c r="G15" s="31"/>
      <c r="H15" s="31"/>
      <c r="I15" s="32"/>
    </row>
    <row r="17" spans="2:9" ht="16" customHeight="1" x14ac:dyDescent="0.2">
      <c r="B17" s="34" t="s">
        <v>22</v>
      </c>
      <c r="C17" s="35"/>
      <c r="D17" s="35"/>
      <c r="E17" s="35"/>
      <c r="F17" s="35"/>
      <c r="G17" s="35"/>
      <c r="H17" s="35"/>
      <c r="I17" s="35"/>
    </row>
    <row r="18" spans="2:9" ht="16" customHeight="1" x14ac:dyDescent="0.2">
      <c r="B18" s="19" t="s">
        <v>23</v>
      </c>
      <c r="C18" s="20" t="s">
        <v>24</v>
      </c>
      <c r="D18" s="20" t="s">
        <v>4</v>
      </c>
      <c r="E18" s="20" t="s">
        <v>5</v>
      </c>
      <c r="F18" s="20" t="s">
        <v>10</v>
      </c>
      <c r="G18" s="20" t="s">
        <v>7</v>
      </c>
      <c r="H18" s="20" t="s">
        <v>8</v>
      </c>
      <c r="I18" s="20" t="s">
        <v>9</v>
      </c>
    </row>
    <row r="19" spans="2:9" ht="16" customHeight="1" x14ac:dyDescent="0.2">
      <c r="B19" s="21" t="s">
        <v>25</v>
      </c>
      <c r="C19" s="22">
        <f>COUNTIF(TestCases[Module],"Login")</f>
        <v>18</v>
      </c>
      <c r="D19" s="22">
        <f>COUNTIFS(TestCases[Module],"Login",TestCases[Automated],"Yes")</f>
        <v>12</v>
      </c>
      <c r="E19" s="22">
        <f>COUNTIFS(TestCases[Module],"Login",TestCases[Automated],"No",TestCases[Status],"&lt;&gt;Not executed")</f>
        <v>6</v>
      </c>
      <c r="F19" s="22">
        <f>COUNTIFS(TestCases[Module],"Login",TestCases[Status],"Not executed")</f>
        <v>0</v>
      </c>
      <c r="G19" s="22">
        <f>COUNTIFS(TestCases[Module],"Login",TestCases[Status],"Passed")</f>
        <v>16</v>
      </c>
      <c r="H19" s="22">
        <f>COUNTIFS(TestCases[Module],"Login",TestCases[Status],"Failed")</f>
        <v>0</v>
      </c>
      <c r="I19" s="22">
        <f>COUNTIFS(TestCases[Module],"Login",TestCases[Status],"Observed")</f>
        <v>2</v>
      </c>
    </row>
    <row r="20" spans="2:9" ht="16" customHeight="1" x14ac:dyDescent="0.2">
      <c r="B20" s="23" t="s">
        <v>26</v>
      </c>
      <c r="C20" s="24">
        <f>COUNTIF(TestCases[Module],"Cart")</f>
        <v>19</v>
      </c>
      <c r="D20" s="24">
        <f>COUNTIFS(TestCases[Module],"Cart",TestCases[Automated],"Yes")</f>
        <v>10</v>
      </c>
      <c r="E20" s="24">
        <f>COUNTIFS(TestCases[Module],"Cart",TestCases[Automated],"No",TestCases[Status],"&lt;&gt;Not executed")</f>
        <v>9</v>
      </c>
      <c r="F20" s="24">
        <f>COUNTIFS(TestCases[Module],"Cart",TestCases[Status],"Not executed")</f>
        <v>0</v>
      </c>
      <c r="G20" s="24">
        <f>COUNTIFS(TestCases[Module],"Cart",TestCases[Status],"Passed")</f>
        <v>14</v>
      </c>
      <c r="H20" s="24">
        <f>COUNTIFS(TestCases[Module],"Cart",TestCases[Status],"Failed")</f>
        <v>2</v>
      </c>
      <c r="I20" s="24">
        <f>COUNTIFS(TestCases[Module],"Cart",TestCases[Status],"Observed")</f>
        <v>3</v>
      </c>
    </row>
    <row r="21" spans="2:9" ht="16" customHeight="1" x14ac:dyDescent="0.2">
      <c r="B21" s="21" t="s">
        <v>27</v>
      </c>
      <c r="C21" s="22">
        <f>COUNTIF(TestCases[Module],"Checkout")</f>
        <v>15</v>
      </c>
      <c r="D21" s="22">
        <f>COUNTIFS(TestCases[Module],"Checkout",TestCases[Automated],"Yes")</f>
        <v>11</v>
      </c>
      <c r="E21" s="22">
        <f>COUNTIFS(TestCases[Module],"Checkout",TestCases[Automated],"No",TestCases[Status],"&lt;&gt;Not executed")</f>
        <v>4</v>
      </c>
      <c r="F21" s="22">
        <f>COUNTIFS(TestCases[Module],"Checkout",TestCases[Status],"Not executed")</f>
        <v>0</v>
      </c>
      <c r="G21" s="22">
        <f>COUNTIFS(TestCases[Module],"Checkout",TestCases[Status],"Passed")</f>
        <v>6</v>
      </c>
      <c r="H21" s="22">
        <f>COUNTIFS(TestCases[Module],"Checkout",TestCases[Status],"Failed")</f>
        <v>8</v>
      </c>
      <c r="I21" s="22">
        <f>COUNTIFS(TestCases[Module],"Checkout",TestCases[Status],"Observed")</f>
        <v>1</v>
      </c>
    </row>
    <row r="22" spans="2:9" ht="16" customHeight="1" x14ac:dyDescent="0.2">
      <c r="B22" s="23" t="s">
        <v>28</v>
      </c>
      <c r="C22" s="24">
        <f>COUNTIF(TestCases[Module],"API")</f>
        <v>7</v>
      </c>
      <c r="D22" s="24">
        <f>COUNTIFS(TestCases[Module],"API",TestCases[Automated],"Yes")</f>
        <v>7</v>
      </c>
      <c r="E22" s="24">
        <f>COUNTIFS(TestCases[Module],"API",TestCases[Automated],"No",TestCases[Status],"&lt;&gt;Not executed")</f>
        <v>0</v>
      </c>
      <c r="F22" s="24">
        <f>COUNTIFS(TestCases[Module],"API",TestCases[Status],"Not executed")</f>
        <v>0</v>
      </c>
      <c r="G22" s="24">
        <f>COUNTIFS(TestCases[Module],"API",TestCases[Status],"Passed")</f>
        <v>6</v>
      </c>
      <c r="H22" s="24">
        <f>COUNTIFS(TestCases[Module],"API",TestCases[Status],"Failed")</f>
        <v>1</v>
      </c>
      <c r="I22" s="24">
        <f>COUNTIFS(TestCases[Module],"API",TestCases[Status],"Observed")</f>
        <v>0</v>
      </c>
    </row>
    <row r="23" spans="2:9" ht="16" customHeight="1" x14ac:dyDescent="0.2">
      <c r="B23" s="18" t="s">
        <v>24</v>
      </c>
      <c r="C23" s="25">
        <f t="shared" ref="C23:I23" si="0">SUM(C19:C22)</f>
        <v>59</v>
      </c>
      <c r="D23" s="25">
        <f t="shared" si="0"/>
        <v>40</v>
      </c>
      <c r="E23" s="25">
        <f t="shared" si="0"/>
        <v>19</v>
      </c>
      <c r="F23" s="25">
        <f t="shared" si="0"/>
        <v>0</v>
      </c>
      <c r="G23" s="25">
        <f t="shared" si="0"/>
        <v>42</v>
      </c>
      <c r="H23" s="25">
        <f t="shared" si="0"/>
        <v>11</v>
      </c>
      <c r="I23" s="25">
        <f t="shared" si="0"/>
        <v>6</v>
      </c>
    </row>
    <row r="25" spans="2:9" ht="16" customHeight="1" x14ac:dyDescent="0.2">
      <c r="B25" s="34" t="s">
        <v>29</v>
      </c>
      <c r="C25" s="35"/>
      <c r="D25" s="35"/>
      <c r="E25" s="35"/>
      <c r="F25" s="35"/>
      <c r="G25" s="35"/>
      <c r="H25" s="35"/>
      <c r="I25" s="35"/>
    </row>
    <row r="26" spans="2:9" ht="16" customHeight="1" x14ac:dyDescent="0.2">
      <c r="B26" s="19" t="s">
        <v>30</v>
      </c>
      <c r="C26" s="20" t="s">
        <v>24</v>
      </c>
      <c r="D26" s="20" t="s">
        <v>4</v>
      </c>
      <c r="E26" s="20" t="s">
        <v>7</v>
      </c>
      <c r="F26" s="20" t="s">
        <v>8</v>
      </c>
      <c r="G26" s="38" t="s">
        <v>31</v>
      </c>
      <c r="H26" s="31"/>
      <c r="I26" s="32"/>
    </row>
    <row r="27" spans="2:9" ht="16" customHeight="1" x14ac:dyDescent="0.2">
      <c r="B27" s="21" t="s">
        <v>32</v>
      </c>
      <c r="C27" s="22">
        <f>COUNTIF(TestCases[Priority],"P0")</f>
        <v>13</v>
      </c>
      <c r="D27" s="22">
        <f>COUNTIFS(TestCases[Priority],"P0",TestCases[Automated],"Yes")</f>
        <v>13</v>
      </c>
      <c r="E27" s="22">
        <f>COUNTIFS(TestCases[Priority],"P0",TestCases[Status],"Passed")</f>
        <v>12</v>
      </c>
      <c r="F27" s="22">
        <f>COUNTIFS(TestCases[Priority],"P0",TestCases[Status],"Failed")</f>
        <v>1</v>
      </c>
      <c r="G27" s="40" t="s">
        <v>33</v>
      </c>
      <c r="H27" s="31"/>
      <c r="I27" s="32"/>
    </row>
    <row r="28" spans="2:9" ht="16" customHeight="1" x14ac:dyDescent="0.2">
      <c r="B28" s="23" t="s">
        <v>34</v>
      </c>
      <c r="C28" s="24">
        <f>COUNTIF(TestCases[Priority],"P1")</f>
        <v>39</v>
      </c>
      <c r="D28" s="24">
        <f>COUNTIFS(TestCases[Priority],"P1",TestCases[Automated],"Yes")</f>
        <v>25</v>
      </c>
      <c r="E28" s="24">
        <f>COUNTIFS(TestCases[Priority],"P1",TestCases[Status],"Passed")</f>
        <v>28</v>
      </c>
      <c r="F28" s="24">
        <f>COUNTIFS(TestCases[Priority],"P1",TestCases[Status],"Failed")</f>
        <v>7</v>
      </c>
      <c r="G28" s="33" t="s">
        <v>35</v>
      </c>
      <c r="H28" s="31"/>
      <c r="I28" s="32"/>
    </row>
    <row r="29" spans="2:9" ht="16" customHeight="1" x14ac:dyDescent="0.2">
      <c r="B29" s="21" t="s">
        <v>36</v>
      </c>
      <c r="C29" s="22">
        <f>COUNTIF(TestCases[Priority],"P2")</f>
        <v>7</v>
      </c>
      <c r="D29" s="22">
        <f>COUNTIFS(TestCases[Priority],"P2",TestCases[Automated],"Yes")</f>
        <v>2</v>
      </c>
      <c r="E29" s="22">
        <f>COUNTIFS(TestCases[Priority],"P2",TestCases[Status],"Passed")</f>
        <v>2</v>
      </c>
      <c r="F29" s="22">
        <f>COUNTIFS(TestCases[Priority],"P2",TestCases[Status],"Failed")</f>
        <v>3</v>
      </c>
      <c r="G29" s="40" t="s">
        <v>37</v>
      </c>
      <c r="H29" s="31"/>
      <c r="I29" s="32"/>
    </row>
    <row r="31" spans="2:9" ht="16" customHeight="1" x14ac:dyDescent="0.2">
      <c r="B31" s="34" t="s">
        <v>38</v>
      </c>
      <c r="C31" s="35"/>
      <c r="D31" s="35"/>
      <c r="E31" s="35"/>
      <c r="F31" s="35"/>
      <c r="G31" s="35"/>
      <c r="H31" s="35"/>
      <c r="I31" s="35"/>
    </row>
    <row r="32" spans="2:9" ht="16" customHeight="1" x14ac:dyDescent="0.2">
      <c r="B32" s="19" t="s">
        <v>39</v>
      </c>
      <c r="C32" s="38" t="s">
        <v>40</v>
      </c>
      <c r="D32" s="31"/>
      <c r="E32" s="31"/>
      <c r="F32" s="31"/>
      <c r="G32" s="31"/>
      <c r="H32" s="31"/>
      <c r="I32" s="32"/>
    </row>
    <row r="33" spans="2:9" ht="16" customHeight="1" x14ac:dyDescent="0.2">
      <c r="B33" s="26" t="s">
        <v>7</v>
      </c>
      <c r="C33" s="30" t="s">
        <v>41</v>
      </c>
      <c r="D33" s="31"/>
      <c r="E33" s="31"/>
      <c r="F33" s="31"/>
      <c r="G33" s="31"/>
      <c r="H33" s="31"/>
      <c r="I33" s="32"/>
    </row>
    <row r="34" spans="2:9" ht="16" customHeight="1" x14ac:dyDescent="0.2">
      <c r="B34" s="27" t="s">
        <v>8</v>
      </c>
      <c r="C34" s="30" t="s">
        <v>42</v>
      </c>
      <c r="D34" s="31"/>
      <c r="E34" s="31"/>
      <c r="F34" s="31"/>
      <c r="G34" s="31"/>
      <c r="H34" s="31"/>
      <c r="I34" s="32"/>
    </row>
    <row r="35" spans="2:9" ht="16" customHeight="1" x14ac:dyDescent="0.2">
      <c r="B35" s="28" t="s">
        <v>9</v>
      </c>
      <c r="C35" s="30" t="s">
        <v>43</v>
      </c>
      <c r="D35" s="31"/>
      <c r="E35" s="31"/>
      <c r="F35" s="31"/>
      <c r="G35" s="31"/>
      <c r="H35" s="31"/>
      <c r="I35" s="32"/>
    </row>
    <row r="36" spans="2:9" ht="16" customHeight="1" x14ac:dyDescent="0.2">
      <c r="B36" s="29" t="s">
        <v>10</v>
      </c>
      <c r="C36" s="30" t="s">
        <v>44</v>
      </c>
      <c r="D36" s="31"/>
      <c r="E36" s="31"/>
      <c r="F36" s="31"/>
      <c r="G36" s="31"/>
      <c r="H36" s="31"/>
      <c r="I36" s="32"/>
    </row>
  </sheetData>
  <mergeCells count="21">
    <mergeCell ref="B2:I2"/>
    <mergeCell ref="C34:I34"/>
    <mergeCell ref="G26:I26"/>
    <mergeCell ref="C15:I15"/>
    <mergeCell ref="C33:I33"/>
    <mergeCell ref="G29:I29"/>
    <mergeCell ref="B17:I17"/>
    <mergeCell ref="C14:I14"/>
    <mergeCell ref="B10:I10"/>
    <mergeCell ref="G27:I27"/>
    <mergeCell ref="C12:I12"/>
    <mergeCell ref="B5:I5"/>
    <mergeCell ref="C11:I11"/>
    <mergeCell ref="C36:I36"/>
    <mergeCell ref="G28:I28"/>
    <mergeCell ref="B25:I25"/>
    <mergeCell ref="B3:I3"/>
    <mergeCell ref="C32:I32"/>
    <mergeCell ref="B31:I31"/>
    <mergeCell ref="C13:I13"/>
    <mergeCell ref="C35:I35"/>
  </mergeCells>
  <hyperlinks>
    <hyperlink ref="C11" r:id="rId1" xr:uid="{00000000-0004-0000-0000-000000000000}"/>
  </hyperlink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0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0" customWidth="1"/>
    <col min="3" max="3" width="32" customWidth="1"/>
    <col min="4" max="4" width="8" customWidth="1"/>
    <col min="5" max="5" width="13" customWidth="1"/>
    <col min="6" max="6" width="30" customWidth="1"/>
    <col min="7" max="7" width="26" customWidth="1"/>
    <col min="8" max="8" width="44" customWidth="1"/>
    <col min="9" max="9" width="40" customWidth="1"/>
    <col min="10" max="10" width="11" customWidth="1"/>
    <col min="11" max="11" width="12" customWidth="1"/>
    <col min="12" max="12" width="50" customWidth="1"/>
  </cols>
  <sheetData>
    <row r="1" spans="1:12" ht="16" customHeight="1" x14ac:dyDescent="0.2">
      <c r="A1" s="1" t="s">
        <v>45</v>
      </c>
      <c r="B1" s="1" t="s">
        <v>23</v>
      </c>
      <c r="C1" s="1" t="s">
        <v>46</v>
      </c>
      <c r="D1" s="1" t="s">
        <v>30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4</v>
      </c>
      <c r="K1" s="1" t="s">
        <v>39</v>
      </c>
      <c r="L1" s="1" t="s">
        <v>52</v>
      </c>
    </row>
    <row r="2" spans="1:12" ht="48" customHeight="1" x14ac:dyDescent="0.2">
      <c r="A2" s="2" t="s">
        <v>53</v>
      </c>
      <c r="B2" s="2" t="s">
        <v>25</v>
      </c>
      <c r="C2" s="2" t="s">
        <v>54</v>
      </c>
      <c r="D2" s="2" t="s">
        <v>32</v>
      </c>
      <c r="E2" s="2" t="s">
        <v>55</v>
      </c>
      <c r="F2" s="2" t="s">
        <v>56</v>
      </c>
      <c r="G2" s="2" t="s">
        <v>57</v>
      </c>
      <c r="H2" s="2" t="s">
        <v>58</v>
      </c>
      <c r="I2" s="2" t="s">
        <v>59</v>
      </c>
      <c r="J2" s="2" t="s">
        <v>60</v>
      </c>
      <c r="K2" s="2" t="s">
        <v>7</v>
      </c>
      <c r="L2" s="2"/>
    </row>
    <row r="3" spans="1:12" ht="64" customHeight="1" x14ac:dyDescent="0.2">
      <c r="A3" s="2" t="s">
        <v>61</v>
      </c>
      <c r="B3" s="2" t="s">
        <v>25</v>
      </c>
      <c r="C3" s="2" t="s">
        <v>62</v>
      </c>
      <c r="D3" s="2" t="s">
        <v>32</v>
      </c>
      <c r="E3" s="2" t="s">
        <v>63</v>
      </c>
      <c r="F3" s="2" t="s">
        <v>64</v>
      </c>
      <c r="G3" s="2" t="s">
        <v>65</v>
      </c>
      <c r="H3" s="2" t="s">
        <v>66</v>
      </c>
      <c r="I3" s="2" t="s">
        <v>67</v>
      </c>
      <c r="J3" s="2" t="s">
        <v>60</v>
      </c>
      <c r="K3" s="2" t="s">
        <v>7</v>
      </c>
      <c r="L3" s="2"/>
    </row>
    <row r="4" spans="1:12" ht="16" customHeight="1" x14ac:dyDescent="0.2">
      <c r="A4" s="2" t="s">
        <v>68</v>
      </c>
      <c r="B4" s="2" t="s">
        <v>25</v>
      </c>
      <c r="C4" s="2" t="s">
        <v>69</v>
      </c>
      <c r="D4" s="2" t="s">
        <v>34</v>
      </c>
      <c r="E4" s="2" t="s">
        <v>63</v>
      </c>
      <c r="F4" s="2" t="s">
        <v>70</v>
      </c>
      <c r="G4" s="2" t="s">
        <v>71</v>
      </c>
      <c r="H4" s="2" t="s">
        <v>72</v>
      </c>
      <c r="I4" s="2" t="s">
        <v>73</v>
      </c>
      <c r="J4" s="2" t="s">
        <v>60</v>
      </c>
      <c r="K4" s="2" t="s">
        <v>7</v>
      </c>
      <c r="L4" s="2"/>
    </row>
    <row r="5" spans="1:12" ht="32" customHeight="1" x14ac:dyDescent="0.2">
      <c r="A5" s="2" t="s">
        <v>74</v>
      </c>
      <c r="B5" s="2" t="s">
        <v>25</v>
      </c>
      <c r="C5" s="2" t="s">
        <v>75</v>
      </c>
      <c r="D5" s="2" t="s">
        <v>34</v>
      </c>
      <c r="E5" s="2" t="s">
        <v>63</v>
      </c>
      <c r="F5" s="2" t="s">
        <v>70</v>
      </c>
      <c r="G5" s="2" t="s">
        <v>76</v>
      </c>
      <c r="H5" s="2" t="s">
        <v>77</v>
      </c>
      <c r="I5" s="2" t="s">
        <v>78</v>
      </c>
      <c r="J5" s="2" t="s">
        <v>60</v>
      </c>
      <c r="K5" s="2" t="s">
        <v>7</v>
      </c>
      <c r="L5" s="2"/>
    </row>
    <row r="6" spans="1:12" ht="32" customHeight="1" x14ac:dyDescent="0.2">
      <c r="A6" s="2" t="s">
        <v>79</v>
      </c>
      <c r="B6" s="2" t="s">
        <v>25</v>
      </c>
      <c r="C6" s="2" t="s">
        <v>80</v>
      </c>
      <c r="D6" s="2" t="s">
        <v>34</v>
      </c>
      <c r="E6" s="2" t="s">
        <v>63</v>
      </c>
      <c r="F6" s="2" t="s">
        <v>70</v>
      </c>
      <c r="G6" s="2" t="s">
        <v>81</v>
      </c>
      <c r="H6" s="2" t="s">
        <v>82</v>
      </c>
      <c r="I6" s="2" t="s">
        <v>83</v>
      </c>
      <c r="J6" s="2" t="s">
        <v>60</v>
      </c>
      <c r="K6" s="2" t="s">
        <v>7</v>
      </c>
      <c r="L6" s="2"/>
    </row>
    <row r="7" spans="1:12" ht="32" customHeight="1" x14ac:dyDescent="0.2">
      <c r="A7" s="2" t="s">
        <v>84</v>
      </c>
      <c r="B7" s="2" t="s">
        <v>25</v>
      </c>
      <c r="C7" s="2" t="s">
        <v>85</v>
      </c>
      <c r="D7" s="2" t="s">
        <v>34</v>
      </c>
      <c r="E7" s="2" t="s">
        <v>63</v>
      </c>
      <c r="F7" s="2" t="s">
        <v>70</v>
      </c>
      <c r="G7" s="2" t="s">
        <v>86</v>
      </c>
      <c r="H7" s="2" t="s">
        <v>87</v>
      </c>
      <c r="I7" s="2" t="s">
        <v>83</v>
      </c>
      <c r="J7" s="2" t="s">
        <v>60</v>
      </c>
      <c r="K7" s="2" t="s">
        <v>7</v>
      </c>
      <c r="L7" s="2"/>
    </row>
    <row r="8" spans="1:12" ht="48" customHeight="1" x14ac:dyDescent="0.2">
      <c r="A8" s="2" t="s">
        <v>88</v>
      </c>
      <c r="B8" s="2" t="s">
        <v>25</v>
      </c>
      <c r="C8" s="2" t="s">
        <v>89</v>
      </c>
      <c r="D8" s="2" t="s">
        <v>34</v>
      </c>
      <c r="E8" s="2" t="s">
        <v>90</v>
      </c>
      <c r="F8" s="2" t="s">
        <v>70</v>
      </c>
      <c r="G8" s="2" t="s">
        <v>91</v>
      </c>
      <c r="H8" s="2" t="s">
        <v>92</v>
      </c>
      <c r="I8" s="2" t="s">
        <v>93</v>
      </c>
      <c r="J8" s="2" t="s">
        <v>94</v>
      </c>
      <c r="K8" s="2" t="s">
        <v>9</v>
      </c>
      <c r="L8" s="2" t="s">
        <v>95</v>
      </c>
    </row>
    <row r="9" spans="1:12" ht="32" customHeight="1" x14ac:dyDescent="0.2">
      <c r="A9" s="2" t="s">
        <v>96</v>
      </c>
      <c r="B9" s="2" t="s">
        <v>25</v>
      </c>
      <c r="C9" s="2" t="s">
        <v>97</v>
      </c>
      <c r="D9" s="2" t="s">
        <v>34</v>
      </c>
      <c r="E9" s="2" t="s">
        <v>55</v>
      </c>
      <c r="F9" s="2" t="s">
        <v>70</v>
      </c>
      <c r="G9" s="2" t="s">
        <v>98</v>
      </c>
      <c r="H9" s="2" t="s">
        <v>99</v>
      </c>
      <c r="I9" s="2" t="s">
        <v>100</v>
      </c>
      <c r="J9" s="2" t="s">
        <v>60</v>
      </c>
      <c r="K9" s="2" t="s">
        <v>7</v>
      </c>
      <c r="L9" s="2"/>
    </row>
    <row r="10" spans="1:12" ht="32" customHeight="1" x14ac:dyDescent="0.2">
      <c r="A10" s="2" t="s">
        <v>101</v>
      </c>
      <c r="B10" s="2" t="s">
        <v>25</v>
      </c>
      <c r="C10" s="2" t="s">
        <v>102</v>
      </c>
      <c r="D10" s="2" t="s">
        <v>32</v>
      </c>
      <c r="E10" s="2" t="s">
        <v>55</v>
      </c>
      <c r="F10" s="2" t="s">
        <v>103</v>
      </c>
      <c r="G10" s="2" t="s">
        <v>104</v>
      </c>
      <c r="H10" s="2" t="s">
        <v>105</v>
      </c>
      <c r="I10" s="2" t="s">
        <v>106</v>
      </c>
      <c r="J10" s="2" t="s">
        <v>60</v>
      </c>
      <c r="K10" s="2" t="s">
        <v>7</v>
      </c>
      <c r="L10" s="2"/>
    </row>
    <row r="11" spans="1:12" ht="48" customHeight="1" x14ac:dyDescent="0.2">
      <c r="A11" s="2" t="s">
        <v>107</v>
      </c>
      <c r="B11" s="2" t="s">
        <v>25</v>
      </c>
      <c r="C11" s="2" t="s">
        <v>108</v>
      </c>
      <c r="D11" s="2" t="s">
        <v>32</v>
      </c>
      <c r="E11" s="2" t="s">
        <v>55</v>
      </c>
      <c r="F11" s="2" t="s">
        <v>103</v>
      </c>
      <c r="G11" s="2" t="s">
        <v>109</v>
      </c>
      <c r="H11" s="2" t="s">
        <v>110</v>
      </c>
      <c r="I11" s="2" t="s">
        <v>111</v>
      </c>
      <c r="J11" s="2" t="s">
        <v>60</v>
      </c>
      <c r="K11" s="2" t="s">
        <v>7</v>
      </c>
      <c r="L11" s="2"/>
    </row>
    <row r="12" spans="1:12" ht="64" customHeight="1" x14ac:dyDescent="0.2">
      <c r="A12" s="2" t="s">
        <v>112</v>
      </c>
      <c r="B12" s="2" t="s">
        <v>25</v>
      </c>
      <c r="C12" s="2" t="s">
        <v>113</v>
      </c>
      <c r="D12" s="2" t="s">
        <v>36</v>
      </c>
      <c r="E12" s="2" t="s">
        <v>55</v>
      </c>
      <c r="F12" s="2" t="s">
        <v>70</v>
      </c>
      <c r="G12" s="2" t="s">
        <v>114</v>
      </c>
      <c r="H12" s="2" t="s">
        <v>115</v>
      </c>
      <c r="I12" s="2" t="s">
        <v>116</v>
      </c>
      <c r="J12" s="2" t="s">
        <v>94</v>
      </c>
      <c r="K12" s="2" t="s">
        <v>7</v>
      </c>
      <c r="L12" s="2"/>
    </row>
    <row r="13" spans="1:12" ht="96" customHeight="1" x14ac:dyDescent="0.2">
      <c r="A13" s="2" t="s">
        <v>117</v>
      </c>
      <c r="B13" s="2" t="s">
        <v>25</v>
      </c>
      <c r="C13" s="2" t="s">
        <v>118</v>
      </c>
      <c r="D13" s="2" t="s">
        <v>34</v>
      </c>
      <c r="E13" s="2" t="s">
        <v>119</v>
      </c>
      <c r="F13" s="2" t="s">
        <v>120</v>
      </c>
      <c r="G13" s="2" t="s">
        <v>121</v>
      </c>
      <c r="H13" s="2" t="s">
        <v>122</v>
      </c>
      <c r="I13" s="2" t="s">
        <v>123</v>
      </c>
      <c r="J13" s="2" t="s">
        <v>60</v>
      </c>
      <c r="K13" s="2" t="s">
        <v>7</v>
      </c>
      <c r="L13" s="2" t="s">
        <v>124</v>
      </c>
    </row>
    <row r="14" spans="1:12" ht="32" customHeight="1" x14ac:dyDescent="0.2">
      <c r="A14" s="2" t="s">
        <v>125</v>
      </c>
      <c r="B14" s="2" t="s">
        <v>25</v>
      </c>
      <c r="C14" s="2" t="s">
        <v>126</v>
      </c>
      <c r="D14" s="2" t="s">
        <v>36</v>
      </c>
      <c r="E14" s="2" t="s">
        <v>90</v>
      </c>
      <c r="F14" s="2" t="s">
        <v>127</v>
      </c>
      <c r="G14" s="2" t="s">
        <v>128</v>
      </c>
      <c r="H14" s="2" t="s">
        <v>129</v>
      </c>
      <c r="I14" s="2" t="s">
        <v>130</v>
      </c>
      <c r="J14" s="2" t="s">
        <v>94</v>
      </c>
      <c r="K14" s="2" t="s">
        <v>9</v>
      </c>
      <c r="L14" s="2" t="s">
        <v>131</v>
      </c>
    </row>
    <row r="15" spans="1:12" ht="32" customHeight="1" x14ac:dyDescent="0.2">
      <c r="A15" s="2" t="s">
        <v>132</v>
      </c>
      <c r="B15" s="2" t="s">
        <v>25</v>
      </c>
      <c r="C15" s="2" t="s">
        <v>133</v>
      </c>
      <c r="D15" s="2" t="s">
        <v>36</v>
      </c>
      <c r="E15" s="2" t="s">
        <v>90</v>
      </c>
      <c r="F15" s="2" t="s">
        <v>70</v>
      </c>
      <c r="G15" s="2" t="s">
        <v>134</v>
      </c>
      <c r="H15" s="2" t="s">
        <v>135</v>
      </c>
      <c r="I15" s="2" t="s">
        <v>136</v>
      </c>
      <c r="J15" s="2" t="s">
        <v>94</v>
      </c>
      <c r="K15" s="2" t="s">
        <v>7</v>
      </c>
      <c r="L15" s="2" t="s">
        <v>137</v>
      </c>
    </row>
    <row r="16" spans="1:12" ht="64" customHeight="1" x14ac:dyDescent="0.2">
      <c r="A16" s="2" t="s">
        <v>138</v>
      </c>
      <c r="B16" s="2" t="s">
        <v>25</v>
      </c>
      <c r="C16" s="2" t="s">
        <v>139</v>
      </c>
      <c r="D16" s="2" t="s">
        <v>34</v>
      </c>
      <c r="E16" s="2" t="s">
        <v>140</v>
      </c>
      <c r="F16" s="2" t="s">
        <v>141</v>
      </c>
      <c r="G16" s="2" t="s">
        <v>142</v>
      </c>
      <c r="H16" s="2" t="s">
        <v>143</v>
      </c>
      <c r="I16" s="2" t="s">
        <v>144</v>
      </c>
      <c r="J16" s="2" t="s">
        <v>60</v>
      </c>
      <c r="K16" s="2" t="s">
        <v>7</v>
      </c>
      <c r="L16" s="2" t="s">
        <v>145</v>
      </c>
    </row>
    <row r="17" spans="1:12" ht="32" customHeight="1" x14ac:dyDescent="0.2">
      <c r="A17" s="2" t="s">
        <v>146</v>
      </c>
      <c r="B17" s="2" t="s">
        <v>25</v>
      </c>
      <c r="C17" s="2" t="s">
        <v>147</v>
      </c>
      <c r="D17" s="2" t="s">
        <v>34</v>
      </c>
      <c r="E17" s="2" t="s">
        <v>63</v>
      </c>
      <c r="F17" s="2" t="s">
        <v>148</v>
      </c>
      <c r="G17" s="2" t="s">
        <v>149</v>
      </c>
      <c r="H17" s="2" t="s">
        <v>150</v>
      </c>
      <c r="I17" s="2" t="s">
        <v>151</v>
      </c>
      <c r="J17" s="2" t="s">
        <v>94</v>
      </c>
      <c r="K17" s="2" t="s">
        <v>7</v>
      </c>
      <c r="L17" s="2" t="s">
        <v>152</v>
      </c>
    </row>
    <row r="18" spans="1:12" ht="16" customHeight="1" x14ac:dyDescent="0.2">
      <c r="A18" s="2" t="s">
        <v>153</v>
      </c>
      <c r="B18" s="2" t="s">
        <v>25</v>
      </c>
      <c r="C18" s="2" t="s">
        <v>154</v>
      </c>
      <c r="D18" s="2" t="s">
        <v>34</v>
      </c>
      <c r="E18" s="2" t="s">
        <v>63</v>
      </c>
      <c r="F18" s="2" t="s">
        <v>70</v>
      </c>
      <c r="G18" s="2" t="s">
        <v>155</v>
      </c>
      <c r="H18" s="2" t="s">
        <v>156</v>
      </c>
      <c r="I18" s="2" t="s">
        <v>157</v>
      </c>
      <c r="J18" s="2" t="s">
        <v>94</v>
      </c>
      <c r="K18" s="2" t="s">
        <v>7</v>
      </c>
      <c r="L18" s="2" t="s">
        <v>158</v>
      </c>
    </row>
    <row r="19" spans="1:12" ht="48" customHeight="1" x14ac:dyDescent="0.2">
      <c r="A19" s="2" t="s">
        <v>159</v>
      </c>
      <c r="B19" s="2" t="s">
        <v>25</v>
      </c>
      <c r="C19" s="2" t="s">
        <v>160</v>
      </c>
      <c r="D19" s="2" t="s">
        <v>34</v>
      </c>
      <c r="E19" s="2" t="s">
        <v>161</v>
      </c>
      <c r="F19" s="2" t="s">
        <v>162</v>
      </c>
      <c r="G19" s="2" t="s">
        <v>121</v>
      </c>
      <c r="H19" s="2" t="s">
        <v>163</v>
      </c>
      <c r="I19" s="2" t="s">
        <v>164</v>
      </c>
      <c r="J19" s="2" t="s">
        <v>60</v>
      </c>
      <c r="K19" s="2" t="s">
        <v>7</v>
      </c>
      <c r="L19" s="2" t="s">
        <v>165</v>
      </c>
    </row>
    <row r="20" spans="1:12" ht="48" customHeight="1" x14ac:dyDescent="0.2">
      <c r="A20" s="2" t="s">
        <v>166</v>
      </c>
      <c r="B20" s="2" t="s">
        <v>26</v>
      </c>
      <c r="C20" s="2" t="s">
        <v>167</v>
      </c>
      <c r="D20" s="2" t="s">
        <v>32</v>
      </c>
      <c r="E20" s="2" t="s">
        <v>55</v>
      </c>
      <c r="F20" s="2" t="s">
        <v>168</v>
      </c>
      <c r="G20" s="2" t="s">
        <v>169</v>
      </c>
      <c r="H20" s="2" t="s">
        <v>170</v>
      </c>
      <c r="I20" s="2" t="s">
        <v>171</v>
      </c>
      <c r="J20" s="2" t="s">
        <v>60</v>
      </c>
      <c r="K20" s="2" t="s">
        <v>7</v>
      </c>
      <c r="L20" s="2"/>
    </row>
    <row r="21" spans="1:12" ht="64" customHeight="1" x14ac:dyDescent="0.2">
      <c r="A21" s="2" t="s">
        <v>172</v>
      </c>
      <c r="B21" s="2" t="s">
        <v>26</v>
      </c>
      <c r="C21" s="2" t="s">
        <v>173</v>
      </c>
      <c r="D21" s="2" t="s">
        <v>34</v>
      </c>
      <c r="E21" s="2" t="s">
        <v>55</v>
      </c>
      <c r="F21" s="2" t="s">
        <v>174</v>
      </c>
      <c r="G21" s="2" t="s">
        <v>175</v>
      </c>
      <c r="H21" s="2" t="s">
        <v>176</v>
      </c>
      <c r="I21" s="2" t="s">
        <v>177</v>
      </c>
      <c r="J21" s="2" t="s">
        <v>94</v>
      </c>
      <c r="K21" s="2" t="s">
        <v>7</v>
      </c>
      <c r="L21" s="2" t="s">
        <v>178</v>
      </c>
    </row>
    <row r="22" spans="1:12" ht="32" customHeight="1" x14ac:dyDescent="0.2">
      <c r="A22" s="2" t="s">
        <v>179</v>
      </c>
      <c r="B22" s="2" t="s">
        <v>26</v>
      </c>
      <c r="C22" s="2" t="s">
        <v>180</v>
      </c>
      <c r="D22" s="2" t="s">
        <v>32</v>
      </c>
      <c r="E22" s="2" t="s">
        <v>55</v>
      </c>
      <c r="F22" s="2" t="s">
        <v>168</v>
      </c>
      <c r="G22" s="2" t="s">
        <v>181</v>
      </c>
      <c r="H22" s="2" t="s">
        <v>182</v>
      </c>
      <c r="I22" s="2" t="s">
        <v>183</v>
      </c>
      <c r="J22" s="2" t="s">
        <v>60</v>
      </c>
      <c r="K22" s="2" t="s">
        <v>7</v>
      </c>
      <c r="L22" s="2"/>
    </row>
    <row r="23" spans="1:12" ht="64" customHeight="1" x14ac:dyDescent="0.2">
      <c r="A23" s="2" t="s">
        <v>184</v>
      </c>
      <c r="B23" s="2" t="s">
        <v>26</v>
      </c>
      <c r="C23" s="2" t="s">
        <v>185</v>
      </c>
      <c r="D23" s="2" t="s">
        <v>34</v>
      </c>
      <c r="E23" s="2" t="s">
        <v>90</v>
      </c>
      <c r="F23" s="2" t="s">
        <v>168</v>
      </c>
      <c r="G23" s="2" t="s">
        <v>186</v>
      </c>
      <c r="H23" s="2" t="s">
        <v>187</v>
      </c>
      <c r="I23" s="2" t="s">
        <v>188</v>
      </c>
      <c r="J23" s="2" t="s">
        <v>60</v>
      </c>
      <c r="K23" s="2" t="s">
        <v>7</v>
      </c>
      <c r="L23" s="2"/>
    </row>
    <row r="24" spans="1:12" ht="32" customHeight="1" x14ac:dyDescent="0.2">
      <c r="A24" s="2" t="s">
        <v>189</v>
      </c>
      <c r="B24" s="2" t="s">
        <v>26</v>
      </c>
      <c r="C24" s="2" t="s">
        <v>190</v>
      </c>
      <c r="D24" s="2" t="s">
        <v>32</v>
      </c>
      <c r="E24" s="2" t="s">
        <v>55</v>
      </c>
      <c r="F24" s="2" t="s">
        <v>191</v>
      </c>
      <c r="G24" s="2" t="s">
        <v>192</v>
      </c>
      <c r="H24" s="2" t="s">
        <v>193</v>
      </c>
      <c r="I24" s="2" t="s">
        <v>194</v>
      </c>
      <c r="J24" s="2" t="s">
        <v>60</v>
      </c>
      <c r="K24" s="2" t="s">
        <v>7</v>
      </c>
      <c r="L24" s="2"/>
    </row>
    <row r="25" spans="1:12" ht="32" customHeight="1" x14ac:dyDescent="0.2">
      <c r="A25" s="2" t="s">
        <v>195</v>
      </c>
      <c r="B25" s="2" t="s">
        <v>26</v>
      </c>
      <c r="C25" s="2" t="s">
        <v>196</v>
      </c>
      <c r="D25" s="2" t="s">
        <v>34</v>
      </c>
      <c r="E25" s="2" t="s">
        <v>90</v>
      </c>
      <c r="F25" s="2" t="s">
        <v>197</v>
      </c>
      <c r="G25" s="2" t="s">
        <v>198</v>
      </c>
      <c r="H25" s="2" t="s">
        <v>199</v>
      </c>
      <c r="I25" s="2" t="s">
        <v>200</v>
      </c>
      <c r="J25" s="2" t="s">
        <v>60</v>
      </c>
      <c r="K25" s="2" t="s">
        <v>7</v>
      </c>
      <c r="L25" s="2"/>
    </row>
    <row r="26" spans="1:12" ht="32" customHeight="1" x14ac:dyDescent="0.2">
      <c r="A26" s="2" t="s">
        <v>201</v>
      </c>
      <c r="B26" s="2" t="s">
        <v>26</v>
      </c>
      <c r="C26" s="2" t="s">
        <v>202</v>
      </c>
      <c r="D26" s="2" t="s">
        <v>32</v>
      </c>
      <c r="E26" s="2" t="s">
        <v>55</v>
      </c>
      <c r="F26" s="2" t="s">
        <v>197</v>
      </c>
      <c r="G26" s="2" t="s">
        <v>175</v>
      </c>
      <c r="H26" s="2" t="s">
        <v>203</v>
      </c>
      <c r="I26" s="2" t="s">
        <v>204</v>
      </c>
      <c r="J26" s="2" t="s">
        <v>60</v>
      </c>
      <c r="K26" s="2" t="s">
        <v>7</v>
      </c>
      <c r="L26" s="2"/>
    </row>
    <row r="27" spans="1:12" ht="48" customHeight="1" x14ac:dyDescent="0.2">
      <c r="A27" s="2" t="s">
        <v>205</v>
      </c>
      <c r="B27" s="2" t="s">
        <v>26</v>
      </c>
      <c r="C27" s="2" t="s">
        <v>206</v>
      </c>
      <c r="D27" s="2" t="s">
        <v>34</v>
      </c>
      <c r="E27" s="2" t="s">
        <v>55</v>
      </c>
      <c r="F27" s="2" t="s">
        <v>207</v>
      </c>
      <c r="G27" s="2" t="s">
        <v>208</v>
      </c>
      <c r="H27" s="2" t="s">
        <v>209</v>
      </c>
      <c r="I27" s="2" t="s">
        <v>210</v>
      </c>
      <c r="J27" s="2" t="s">
        <v>94</v>
      </c>
      <c r="K27" s="2" t="s">
        <v>7</v>
      </c>
      <c r="L27" s="2" t="s">
        <v>211</v>
      </c>
    </row>
    <row r="28" spans="1:12" ht="48" customHeight="1" x14ac:dyDescent="0.2">
      <c r="A28" s="2" t="s">
        <v>212</v>
      </c>
      <c r="B28" s="2" t="s">
        <v>26</v>
      </c>
      <c r="C28" s="2" t="s">
        <v>213</v>
      </c>
      <c r="D28" s="2" t="s">
        <v>34</v>
      </c>
      <c r="E28" s="2" t="s">
        <v>90</v>
      </c>
      <c r="F28" s="2" t="s">
        <v>214</v>
      </c>
      <c r="G28" s="2" t="s">
        <v>215</v>
      </c>
      <c r="H28" s="2" t="s">
        <v>216</v>
      </c>
      <c r="I28" s="2" t="s">
        <v>217</v>
      </c>
      <c r="J28" s="2" t="s">
        <v>94</v>
      </c>
      <c r="K28" s="2" t="s">
        <v>9</v>
      </c>
      <c r="L28" s="2" t="s">
        <v>218</v>
      </c>
    </row>
    <row r="29" spans="1:12" ht="48" customHeight="1" x14ac:dyDescent="0.2">
      <c r="A29" s="2" t="s">
        <v>219</v>
      </c>
      <c r="B29" s="2" t="s">
        <v>26</v>
      </c>
      <c r="C29" s="2" t="s">
        <v>220</v>
      </c>
      <c r="D29" s="2" t="s">
        <v>32</v>
      </c>
      <c r="E29" s="2" t="s">
        <v>63</v>
      </c>
      <c r="F29" s="2" t="s">
        <v>221</v>
      </c>
      <c r="G29" s="2" t="s">
        <v>222</v>
      </c>
      <c r="H29" s="2" t="s">
        <v>223</v>
      </c>
      <c r="I29" s="2" t="s">
        <v>224</v>
      </c>
      <c r="J29" s="2" t="s">
        <v>60</v>
      </c>
      <c r="K29" s="2" t="s">
        <v>7</v>
      </c>
      <c r="L29" s="2"/>
    </row>
    <row r="30" spans="1:12" ht="64" customHeight="1" x14ac:dyDescent="0.2">
      <c r="A30" s="2" t="s">
        <v>225</v>
      </c>
      <c r="B30" s="2" t="s">
        <v>26</v>
      </c>
      <c r="C30" s="2" t="s">
        <v>226</v>
      </c>
      <c r="D30" s="2" t="s">
        <v>34</v>
      </c>
      <c r="E30" s="2" t="s">
        <v>90</v>
      </c>
      <c r="F30" s="2" t="s">
        <v>227</v>
      </c>
      <c r="G30" s="2" t="s">
        <v>192</v>
      </c>
      <c r="H30" s="2" t="s">
        <v>228</v>
      </c>
      <c r="I30" s="2" t="s">
        <v>229</v>
      </c>
      <c r="J30" s="2" t="s">
        <v>94</v>
      </c>
      <c r="K30" s="2" t="s">
        <v>7</v>
      </c>
      <c r="L30" s="2" t="s">
        <v>230</v>
      </c>
    </row>
    <row r="31" spans="1:12" ht="32" customHeight="1" x14ac:dyDescent="0.2">
      <c r="A31" s="2" t="s">
        <v>231</v>
      </c>
      <c r="B31" s="2" t="s">
        <v>26</v>
      </c>
      <c r="C31" s="2" t="s">
        <v>232</v>
      </c>
      <c r="D31" s="2" t="s">
        <v>36</v>
      </c>
      <c r="E31" s="2" t="s">
        <v>55</v>
      </c>
      <c r="F31" s="2" t="s">
        <v>168</v>
      </c>
      <c r="G31" s="2" t="s">
        <v>233</v>
      </c>
      <c r="H31" s="2" t="s">
        <v>234</v>
      </c>
      <c r="I31" s="2" t="s">
        <v>235</v>
      </c>
      <c r="J31" s="2" t="s">
        <v>94</v>
      </c>
      <c r="K31" s="2" t="s">
        <v>8</v>
      </c>
      <c r="L31" s="2" t="s">
        <v>236</v>
      </c>
    </row>
    <row r="32" spans="1:12" ht="32" customHeight="1" x14ac:dyDescent="0.2">
      <c r="A32" s="2" t="s">
        <v>237</v>
      </c>
      <c r="B32" s="2" t="s">
        <v>26</v>
      </c>
      <c r="C32" s="2" t="s">
        <v>238</v>
      </c>
      <c r="D32" s="2" t="s">
        <v>34</v>
      </c>
      <c r="E32" s="2" t="s">
        <v>90</v>
      </c>
      <c r="F32" s="2" t="s">
        <v>239</v>
      </c>
      <c r="G32" s="2" t="s">
        <v>240</v>
      </c>
      <c r="H32" s="2" t="s">
        <v>241</v>
      </c>
      <c r="I32" s="2" t="s">
        <v>242</v>
      </c>
      <c r="J32" s="2" t="s">
        <v>94</v>
      </c>
      <c r="K32" s="2" t="s">
        <v>9</v>
      </c>
      <c r="L32" s="2" t="s">
        <v>243</v>
      </c>
    </row>
    <row r="33" spans="1:12" ht="32" customHeight="1" x14ac:dyDescent="0.2">
      <c r="A33" s="2" t="s">
        <v>244</v>
      </c>
      <c r="B33" s="2" t="s">
        <v>26</v>
      </c>
      <c r="C33" s="2" t="s">
        <v>245</v>
      </c>
      <c r="D33" s="2" t="s">
        <v>34</v>
      </c>
      <c r="E33" s="2" t="s">
        <v>140</v>
      </c>
      <c r="F33" s="2" t="s">
        <v>246</v>
      </c>
      <c r="G33" s="2" t="s">
        <v>247</v>
      </c>
      <c r="H33" s="2" t="s">
        <v>248</v>
      </c>
      <c r="I33" s="2" t="s">
        <v>249</v>
      </c>
      <c r="J33" s="2" t="s">
        <v>94</v>
      </c>
      <c r="K33" s="2" t="s">
        <v>7</v>
      </c>
      <c r="L33" s="2" t="s">
        <v>250</v>
      </c>
    </row>
    <row r="34" spans="1:12" ht="48" customHeight="1" x14ac:dyDescent="0.2">
      <c r="A34" s="2" t="s">
        <v>251</v>
      </c>
      <c r="B34" s="2" t="s">
        <v>26</v>
      </c>
      <c r="C34" s="2" t="s">
        <v>252</v>
      </c>
      <c r="D34" s="2" t="s">
        <v>34</v>
      </c>
      <c r="E34" s="2" t="s">
        <v>140</v>
      </c>
      <c r="F34" s="2" t="s">
        <v>253</v>
      </c>
      <c r="G34" s="2" t="s">
        <v>142</v>
      </c>
      <c r="H34" s="2" t="s">
        <v>254</v>
      </c>
      <c r="I34" s="2" t="s">
        <v>255</v>
      </c>
      <c r="J34" s="2" t="s">
        <v>60</v>
      </c>
      <c r="K34" s="2" t="s">
        <v>7</v>
      </c>
      <c r="L34" s="2" t="s">
        <v>145</v>
      </c>
    </row>
    <row r="35" spans="1:12" ht="48" customHeight="1" x14ac:dyDescent="0.2">
      <c r="A35" s="2" t="s">
        <v>256</v>
      </c>
      <c r="B35" s="2" t="s">
        <v>26</v>
      </c>
      <c r="C35" s="2" t="s">
        <v>257</v>
      </c>
      <c r="D35" s="2" t="s">
        <v>34</v>
      </c>
      <c r="E35" s="2" t="s">
        <v>140</v>
      </c>
      <c r="F35" s="2" t="s">
        <v>258</v>
      </c>
      <c r="G35" s="2" t="s">
        <v>259</v>
      </c>
      <c r="H35" s="2" t="s">
        <v>260</v>
      </c>
      <c r="I35" s="2" t="s">
        <v>261</v>
      </c>
      <c r="J35" s="2" t="s">
        <v>94</v>
      </c>
      <c r="K35" s="2" t="s">
        <v>9</v>
      </c>
      <c r="L35" s="2" t="s">
        <v>262</v>
      </c>
    </row>
    <row r="36" spans="1:12" ht="48" customHeight="1" x14ac:dyDescent="0.2">
      <c r="A36" s="2" t="s">
        <v>263</v>
      </c>
      <c r="B36" s="2" t="s">
        <v>26</v>
      </c>
      <c r="C36" s="2" t="s">
        <v>264</v>
      </c>
      <c r="D36" s="2" t="s">
        <v>34</v>
      </c>
      <c r="E36" s="2" t="s">
        <v>161</v>
      </c>
      <c r="F36" s="2" t="s">
        <v>265</v>
      </c>
      <c r="G36" s="2" t="s">
        <v>192</v>
      </c>
      <c r="H36" s="2" t="s">
        <v>266</v>
      </c>
      <c r="I36" s="2" t="s">
        <v>267</v>
      </c>
      <c r="J36" s="2" t="s">
        <v>60</v>
      </c>
      <c r="K36" s="2" t="s">
        <v>7</v>
      </c>
      <c r="L36" s="2" t="s">
        <v>268</v>
      </c>
    </row>
    <row r="37" spans="1:12" ht="32" customHeight="1" x14ac:dyDescent="0.2">
      <c r="A37" s="2" t="s">
        <v>269</v>
      </c>
      <c r="B37" s="2" t="s">
        <v>26</v>
      </c>
      <c r="C37" s="2" t="s">
        <v>270</v>
      </c>
      <c r="D37" s="2" t="s">
        <v>34</v>
      </c>
      <c r="E37" s="2" t="s">
        <v>90</v>
      </c>
      <c r="F37" s="2" t="s">
        <v>271</v>
      </c>
      <c r="G37" s="2" t="s">
        <v>272</v>
      </c>
      <c r="H37" s="2" t="s">
        <v>273</v>
      </c>
      <c r="I37" s="2" t="s">
        <v>274</v>
      </c>
      <c r="J37" s="2" t="s">
        <v>94</v>
      </c>
      <c r="K37" s="2" t="s">
        <v>7</v>
      </c>
      <c r="L37" s="2" t="s">
        <v>275</v>
      </c>
    </row>
    <row r="38" spans="1:12" ht="48" customHeight="1" x14ac:dyDescent="0.2">
      <c r="A38" s="2" t="s">
        <v>276</v>
      </c>
      <c r="B38" s="2" t="s">
        <v>26</v>
      </c>
      <c r="C38" s="2" t="s">
        <v>277</v>
      </c>
      <c r="D38" s="2" t="s">
        <v>32</v>
      </c>
      <c r="E38" s="2" t="s">
        <v>63</v>
      </c>
      <c r="F38" s="2" t="s">
        <v>278</v>
      </c>
      <c r="G38" s="2" t="s">
        <v>279</v>
      </c>
      <c r="H38" s="2" t="s">
        <v>280</v>
      </c>
      <c r="I38" s="2" t="s">
        <v>281</v>
      </c>
      <c r="J38" s="2" t="s">
        <v>60</v>
      </c>
      <c r="K38" s="2" t="s">
        <v>8</v>
      </c>
      <c r="L38" s="2" t="s">
        <v>282</v>
      </c>
    </row>
    <row r="39" spans="1:12" ht="112" customHeight="1" x14ac:dyDescent="0.2">
      <c r="A39" s="2" t="s">
        <v>283</v>
      </c>
      <c r="B39" s="2" t="s">
        <v>27</v>
      </c>
      <c r="C39" s="2" t="s">
        <v>284</v>
      </c>
      <c r="D39" s="2" t="s">
        <v>32</v>
      </c>
      <c r="E39" s="2" t="s">
        <v>55</v>
      </c>
      <c r="F39" s="2" t="s">
        <v>285</v>
      </c>
      <c r="G39" s="2" t="s">
        <v>286</v>
      </c>
      <c r="H39" s="2" t="s">
        <v>287</v>
      </c>
      <c r="I39" s="2" t="s">
        <v>288</v>
      </c>
      <c r="J39" s="2" t="s">
        <v>60</v>
      </c>
      <c r="K39" s="2" t="s">
        <v>7</v>
      </c>
      <c r="L39" s="2" t="s">
        <v>289</v>
      </c>
    </row>
    <row r="40" spans="1:12" ht="48" customHeight="1" x14ac:dyDescent="0.2">
      <c r="A40" s="2" t="s">
        <v>290</v>
      </c>
      <c r="B40" s="2" t="s">
        <v>27</v>
      </c>
      <c r="C40" s="2" t="s">
        <v>291</v>
      </c>
      <c r="D40" s="2" t="s">
        <v>32</v>
      </c>
      <c r="E40" s="2" t="s">
        <v>55</v>
      </c>
      <c r="F40" s="2" t="s">
        <v>292</v>
      </c>
      <c r="G40" s="2" t="s">
        <v>293</v>
      </c>
      <c r="H40" s="2" t="s">
        <v>294</v>
      </c>
      <c r="I40" s="2" t="s">
        <v>295</v>
      </c>
      <c r="J40" s="2" t="s">
        <v>60</v>
      </c>
      <c r="K40" s="2" t="s">
        <v>7</v>
      </c>
      <c r="L40" s="2"/>
    </row>
    <row r="41" spans="1:12" ht="48" customHeight="1" x14ac:dyDescent="0.2">
      <c r="A41" s="2" t="s">
        <v>296</v>
      </c>
      <c r="B41" s="2" t="s">
        <v>27</v>
      </c>
      <c r="C41" s="2" t="s">
        <v>297</v>
      </c>
      <c r="D41" s="2" t="s">
        <v>34</v>
      </c>
      <c r="E41" s="2" t="s">
        <v>63</v>
      </c>
      <c r="F41" s="2" t="s">
        <v>298</v>
      </c>
      <c r="G41" s="2" t="s">
        <v>299</v>
      </c>
      <c r="H41" s="2" t="s">
        <v>300</v>
      </c>
      <c r="I41" s="2" t="s">
        <v>301</v>
      </c>
      <c r="J41" s="2" t="s">
        <v>60</v>
      </c>
      <c r="K41" s="2" t="s">
        <v>7</v>
      </c>
      <c r="L41" s="2"/>
    </row>
    <row r="42" spans="1:12" ht="48" customHeight="1" x14ac:dyDescent="0.2">
      <c r="A42" s="2" t="s">
        <v>302</v>
      </c>
      <c r="B42" s="2" t="s">
        <v>27</v>
      </c>
      <c r="C42" s="2" t="s">
        <v>303</v>
      </c>
      <c r="D42" s="2" t="s">
        <v>34</v>
      </c>
      <c r="E42" s="2" t="s">
        <v>63</v>
      </c>
      <c r="F42" s="2" t="s">
        <v>298</v>
      </c>
      <c r="G42" s="2" t="s">
        <v>304</v>
      </c>
      <c r="H42" s="2" t="s">
        <v>305</v>
      </c>
      <c r="I42" s="2" t="s">
        <v>306</v>
      </c>
      <c r="J42" s="2" t="s">
        <v>60</v>
      </c>
      <c r="K42" s="2" t="s">
        <v>7</v>
      </c>
      <c r="L42" s="2"/>
    </row>
    <row r="43" spans="1:12" ht="48" customHeight="1" x14ac:dyDescent="0.2">
      <c r="A43" s="2" t="s">
        <v>307</v>
      </c>
      <c r="B43" s="2" t="s">
        <v>27</v>
      </c>
      <c r="C43" s="2" t="s">
        <v>308</v>
      </c>
      <c r="D43" s="2" t="s">
        <v>34</v>
      </c>
      <c r="E43" s="2" t="s">
        <v>63</v>
      </c>
      <c r="F43" s="2" t="s">
        <v>298</v>
      </c>
      <c r="G43" s="2" t="s">
        <v>309</v>
      </c>
      <c r="H43" s="2" t="s">
        <v>310</v>
      </c>
      <c r="I43" s="2" t="s">
        <v>311</v>
      </c>
      <c r="J43" s="2" t="s">
        <v>94</v>
      </c>
      <c r="K43" s="2" t="s">
        <v>8</v>
      </c>
      <c r="L43" s="2" t="s">
        <v>312</v>
      </c>
    </row>
    <row r="44" spans="1:12" ht="48" customHeight="1" x14ac:dyDescent="0.2">
      <c r="A44" s="2" t="s">
        <v>313</v>
      </c>
      <c r="B44" s="2" t="s">
        <v>27</v>
      </c>
      <c r="C44" s="2" t="s">
        <v>314</v>
      </c>
      <c r="D44" s="2" t="s">
        <v>34</v>
      </c>
      <c r="E44" s="2" t="s">
        <v>55</v>
      </c>
      <c r="F44" s="2" t="s">
        <v>298</v>
      </c>
      <c r="G44" s="2" t="s">
        <v>315</v>
      </c>
      <c r="H44" s="2" t="s">
        <v>316</v>
      </c>
      <c r="I44" s="2" t="s">
        <v>317</v>
      </c>
      <c r="J44" s="2" t="s">
        <v>60</v>
      </c>
      <c r="K44" s="2" t="s">
        <v>7</v>
      </c>
      <c r="L44" s="2"/>
    </row>
    <row r="45" spans="1:12" ht="48" customHeight="1" x14ac:dyDescent="0.2">
      <c r="A45" s="2" t="s">
        <v>318</v>
      </c>
      <c r="B45" s="2" t="s">
        <v>27</v>
      </c>
      <c r="C45" s="2" t="s">
        <v>319</v>
      </c>
      <c r="D45" s="2" t="s">
        <v>32</v>
      </c>
      <c r="E45" s="2" t="s">
        <v>55</v>
      </c>
      <c r="F45" s="2" t="s">
        <v>320</v>
      </c>
      <c r="G45" s="2" t="s">
        <v>233</v>
      </c>
      <c r="H45" s="2" t="s">
        <v>321</v>
      </c>
      <c r="I45" s="2" t="s">
        <v>322</v>
      </c>
      <c r="J45" s="2" t="s">
        <v>60</v>
      </c>
      <c r="K45" s="2" t="s">
        <v>7</v>
      </c>
      <c r="L45" s="2"/>
    </row>
    <row r="46" spans="1:12" ht="48" customHeight="1" x14ac:dyDescent="0.2">
      <c r="A46" s="2" t="s">
        <v>323</v>
      </c>
      <c r="B46" s="2" t="s">
        <v>27</v>
      </c>
      <c r="C46" s="2" t="s">
        <v>324</v>
      </c>
      <c r="D46" s="2" t="s">
        <v>34</v>
      </c>
      <c r="E46" s="2" t="s">
        <v>63</v>
      </c>
      <c r="F46" s="2" t="s">
        <v>298</v>
      </c>
      <c r="G46" s="2" t="s">
        <v>325</v>
      </c>
      <c r="H46" s="2" t="s">
        <v>326</v>
      </c>
      <c r="I46" s="2" t="s">
        <v>327</v>
      </c>
      <c r="J46" s="2" t="s">
        <v>60</v>
      </c>
      <c r="K46" s="2" t="s">
        <v>8</v>
      </c>
      <c r="L46" s="2" t="s">
        <v>328</v>
      </c>
    </row>
    <row r="47" spans="1:12" ht="48" customHeight="1" x14ac:dyDescent="0.2">
      <c r="A47" s="2" t="s">
        <v>329</v>
      </c>
      <c r="B47" s="2" t="s">
        <v>27</v>
      </c>
      <c r="C47" s="2" t="s">
        <v>330</v>
      </c>
      <c r="D47" s="2" t="s">
        <v>34</v>
      </c>
      <c r="E47" s="2" t="s">
        <v>90</v>
      </c>
      <c r="F47" s="2" t="s">
        <v>298</v>
      </c>
      <c r="G47" s="2" t="s">
        <v>331</v>
      </c>
      <c r="H47" s="2" t="s">
        <v>332</v>
      </c>
      <c r="I47" s="2" t="s">
        <v>333</v>
      </c>
      <c r="J47" s="2" t="s">
        <v>60</v>
      </c>
      <c r="K47" s="2" t="s">
        <v>8</v>
      </c>
      <c r="L47" s="2" t="s">
        <v>334</v>
      </c>
    </row>
    <row r="48" spans="1:12" ht="64" customHeight="1" x14ac:dyDescent="0.2">
      <c r="A48" s="2" t="s">
        <v>335</v>
      </c>
      <c r="B48" s="2" t="s">
        <v>27</v>
      </c>
      <c r="C48" s="2" t="s">
        <v>336</v>
      </c>
      <c r="D48" s="2" t="s">
        <v>34</v>
      </c>
      <c r="E48" s="2" t="s">
        <v>63</v>
      </c>
      <c r="F48" s="2" t="s">
        <v>168</v>
      </c>
      <c r="G48" s="2" t="s">
        <v>337</v>
      </c>
      <c r="H48" s="2" t="s">
        <v>338</v>
      </c>
      <c r="I48" s="2" t="s">
        <v>339</v>
      </c>
      <c r="J48" s="2" t="s">
        <v>60</v>
      </c>
      <c r="K48" s="2" t="s">
        <v>8</v>
      </c>
      <c r="L48" s="2" t="s">
        <v>340</v>
      </c>
    </row>
    <row r="49" spans="1:12" ht="32" customHeight="1" x14ac:dyDescent="0.2">
      <c r="A49" s="2" t="s">
        <v>341</v>
      </c>
      <c r="B49" s="2" t="s">
        <v>27</v>
      </c>
      <c r="C49" s="2" t="s">
        <v>342</v>
      </c>
      <c r="D49" s="2" t="s">
        <v>36</v>
      </c>
      <c r="E49" s="2" t="s">
        <v>55</v>
      </c>
      <c r="F49" s="2" t="s">
        <v>298</v>
      </c>
      <c r="G49" s="2" t="s">
        <v>343</v>
      </c>
      <c r="H49" s="2" t="s">
        <v>344</v>
      </c>
      <c r="I49" s="2" t="s">
        <v>345</v>
      </c>
      <c r="J49" s="2" t="s">
        <v>60</v>
      </c>
      <c r="K49" s="2" t="s">
        <v>8</v>
      </c>
      <c r="L49" s="2" t="s">
        <v>346</v>
      </c>
    </row>
    <row r="50" spans="1:12" ht="32" customHeight="1" x14ac:dyDescent="0.2">
      <c r="A50" s="2" t="s">
        <v>347</v>
      </c>
      <c r="B50" s="2" t="s">
        <v>27</v>
      </c>
      <c r="C50" s="2" t="s">
        <v>348</v>
      </c>
      <c r="D50" s="2" t="s">
        <v>34</v>
      </c>
      <c r="E50" s="2" t="s">
        <v>140</v>
      </c>
      <c r="F50" s="2" t="s">
        <v>349</v>
      </c>
      <c r="G50" s="2" t="s">
        <v>247</v>
      </c>
      <c r="H50" s="2" t="s">
        <v>350</v>
      </c>
      <c r="I50" s="2" t="s">
        <v>351</v>
      </c>
      <c r="J50" s="2" t="s">
        <v>60</v>
      </c>
      <c r="K50" s="2" t="s">
        <v>8</v>
      </c>
      <c r="L50" s="2" t="s">
        <v>352</v>
      </c>
    </row>
    <row r="51" spans="1:12" ht="32" customHeight="1" x14ac:dyDescent="0.2">
      <c r="A51" s="2" t="s">
        <v>353</v>
      </c>
      <c r="B51" s="2" t="s">
        <v>27</v>
      </c>
      <c r="C51" s="2" t="s">
        <v>354</v>
      </c>
      <c r="D51" s="2" t="s">
        <v>34</v>
      </c>
      <c r="E51" s="2" t="s">
        <v>90</v>
      </c>
      <c r="F51" s="2" t="s">
        <v>298</v>
      </c>
      <c r="G51" s="2" t="s">
        <v>355</v>
      </c>
      <c r="H51" s="2" t="s">
        <v>356</v>
      </c>
      <c r="I51" s="2" t="s">
        <v>357</v>
      </c>
      <c r="J51" s="2" t="s">
        <v>94</v>
      </c>
      <c r="K51" s="2" t="s">
        <v>8</v>
      </c>
      <c r="L51" s="2" t="s">
        <v>358</v>
      </c>
    </row>
    <row r="52" spans="1:12" ht="32" customHeight="1" x14ac:dyDescent="0.2">
      <c r="A52" s="2" t="s">
        <v>359</v>
      </c>
      <c r="B52" s="2" t="s">
        <v>27</v>
      </c>
      <c r="C52" s="2" t="s">
        <v>360</v>
      </c>
      <c r="D52" s="2" t="s">
        <v>36</v>
      </c>
      <c r="E52" s="2" t="s">
        <v>90</v>
      </c>
      <c r="F52" s="2" t="s">
        <v>298</v>
      </c>
      <c r="G52" s="2" t="s">
        <v>361</v>
      </c>
      <c r="H52" s="2" t="s">
        <v>362</v>
      </c>
      <c r="I52" s="2" t="s">
        <v>363</v>
      </c>
      <c r="J52" s="2" t="s">
        <v>94</v>
      </c>
      <c r="K52" s="2" t="s">
        <v>9</v>
      </c>
      <c r="L52" s="2" t="s">
        <v>364</v>
      </c>
    </row>
    <row r="53" spans="1:12" ht="32" customHeight="1" x14ac:dyDescent="0.2">
      <c r="A53" s="2" t="s">
        <v>365</v>
      </c>
      <c r="B53" s="2" t="s">
        <v>27</v>
      </c>
      <c r="C53" s="2" t="s">
        <v>366</v>
      </c>
      <c r="D53" s="2" t="s">
        <v>34</v>
      </c>
      <c r="E53" s="2" t="s">
        <v>367</v>
      </c>
      <c r="F53" s="2" t="s">
        <v>320</v>
      </c>
      <c r="G53" s="2" t="s">
        <v>368</v>
      </c>
      <c r="H53" s="2" t="s">
        <v>369</v>
      </c>
      <c r="I53" s="2" t="s">
        <v>370</v>
      </c>
      <c r="J53" s="2" t="s">
        <v>94</v>
      </c>
      <c r="K53" s="2" t="s">
        <v>8</v>
      </c>
      <c r="L53" s="2" t="s">
        <v>371</v>
      </c>
    </row>
    <row r="54" spans="1:12" ht="32" customHeight="1" x14ac:dyDescent="0.2">
      <c r="A54" s="2" t="s">
        <v>372</v>
      </c>
      <c r="B54" s="2" t="s">
        <v>28</v>
      </c>
      <c r="C54" s="2" t="s">
        <v>373</v>
      </c>
      <c r="D54" s="2" t="s">
        <v>34</v>
      </c>
      <c r="E54" s="2" t="s">
        <v>28</v>
      </c>
      <c r="F54" s="2" t="s">
        <v>233</v>
      </c>
      <c r="G54" s="2" t="s">
        <v>374</v>
      </c>
      <c r="H54" s="2" t="s">
        <v>375</v>
      </c>
      <c r="I54" s="2" t="s">
        <v>376</v>
      </c>
      <c r="J54" s="2" t="s">
        <v>60</v>
      </c>
      <c r="K54" s="2" t="s">
        <v>7</v>
      </c>
      <c r="L54" s="2"/>
    </row>
    <row r="55" spans="1:12" ht="16" customHeight="1" x14ac:dyDescent="0.2">
      <c r="A55" s="2" t="s">
        <v>377</v>
      </c>
      <c r="B55" s="2" t="s">
        <v>28</v>
      </c>
      <c r="C55" s="2" t="s">
        <v>378</v>
      </c>
      <c r="D55" s="2" t="s">
        <v>34</v>
      </c>
      <c r="E55" s="2" t="s">
        <v>28</v>
      </c>
      <c r="F55" s="2" t="s">
        <v>379</v>
      </c>
      <c r="G55" s="2" t="s">
        <v>380</v>
      </c>
      <c r="H55" s="2" t="s">
        <v>381</v>
      </c>
      <c r="I55" s="2" t="s">
        <v>382</v>
      </c>
      <c r="J55" s="2" t="s">
        <v>60</v>
      </c>
      <c r="K55" s="2" t="s">
        <v>7</v>
      </c>
      <c r="L55" s="2"/>
    </row>
    <row r="56" spans="1:12" ht="48" customHeight="1" x14ac:dyDescent="0.2">
      <c r="A56" s="2" t="s">
        <v>383</v>
      </c>
      <c r="B56" s="2" t="s">
        <v>28</v>
      </c>
      <c r="C56" s="2" t="s">
        <v>384</v>
      </c>
      <c r="D56" s="2" t="s">
        <v>34</v>
      </c>
      <c r="E56" s="2" t="s">
        <v>28</v>
      </c>
      <c r="F56" s="2" t="s">
        <v>385</v>
      </c>
      <c r="G56" s="2" t="s">
        <v>298</v>
      </c>
      <c r="H56" s="2" t="s">
        <v>386</v>
      </c>
      <c r="I56" s="2" t="s">
        <v>387</v>
      </c>
      <c r="J56" s="2" t="s">
        <v>60</v>
      </c>
      <c r="K56" s="2" t="s">
        <v>7</v>
      </c>
      <c r="L56" s="2"/>
    </row>
    <row r="57" spans="1:12" ht="48" customHeight="1" x14ac:dyDescent="0.2">
      <c r="A57" s="2" t="s">
        <v>388</v>
      </c>
      <c r="B57" s="2" t="s">
        <v>28</v>
      </c>
      <c r="C57" s="2" t="s">
        <v>389</v>
      </c>
      <c r="D57" s="2" t="s">
        <v>34</v>
      </c>
      <c r="E57" s="2" t="s">
        <v>28</v>
      </c>
      <c r="F57" s="2" t="s">
        <v>379</v>
      </c>
      <c r="G57" s="2" t="s">
        <v>390</v>
      </c>
      <c r="H57" s="2" t="s">
        <v>391</v>
      </c>
      <c r="I57" s="2" t="s">
        <v>392</v>
      </c>
      <c r="J57" s="2" t="s">
        <v>60</v>
      </c>
      <c r="K57" s="2" t="s">
        <v>7</v>
      </c>
      <c r="L57" s="2"/>
    </row>
    <row r="58" spans="1:12" ht="32" customHeight="1" x14ac:dyDescent="0.2">
      <c r="A58" s="2" t="s">
        <v>393</v>
      </c>
      <c r="B58" s="2" t="s">
        <v>28</v>
      </c>
      <c r="C58" s="2" t="s">
        <v>394</v>
      </c>
      <c r="D58" s="2" t="s">
        <v>34</v>
      </c>
      <c r="E58" s="2" t="s">
        <v>28</v>
      </c>
      <c r="F58" s="2" t="s">
        <v>233</v>
      </c>
      <c r="G58" s="2" t="s">
        <v>395</v>
      </c>
      <c r="H58" s="2" t="s">
        <v>396</v>
      </c>
      <c r="I58" s="2" t="s">
        <v>397</v>
      </c>
      <c r="J58" s="2" t="s">
        <v>60</v>
      </c>
      <c r="K58" s="2" t="s">
        <v>7</v>
      </c>
      <c r="L58" s="2"/>
    </row>
    <row r="59" spans="1:12" ht="32" customHeight="1" x14ac:dyDescent="0.2">
      <c r="A59" s="2" t="s">
        <v>398</v>
      </c>
      <c r="B59" s="2" t="s">
        <v>28</v>
      </c>
      <c r="C59" s="2" t="s">
        <v>399</v>
      </c>
      <c r="D59" s="2" t="s">
        <v>34</v>
      </c>
      <c r="E59" s="2" t="s">
        <v>28</v>
      </c>
      <c r="F59" s="2" t="s">
        <v>233</v>
      </c>
      <c r="G59" s="2" t="s">
        <v>400</v>
      </c>
      <c r="H59" s="2" t="s">
        <v>401</v>
      </c>
      <c r="I59" s="2" t="s">
        <v>402</v>
      </c>
      <c r="J59" s="2" t="s">
        <v>60</v>
      </c>
      <c r="K59" s="2" t="s">
        <v>7</v>
      </c>
      <c r="L59" s="2"/>
    </row>
    <row r="60" spans="1:12" ht="48" customHeight="1" x14ac:dyDescent="0.2">
      <c r="A60" s="2" t="s">
        <v>403</v>
      </c>
      <c r="B60" s="2" t="s">
        <v>28</v>
      </c>
      <c r="C60" s="2" t="s">
        <v>404</v>
      </c>
      <c r="D60" s="2" t="s">
        <v>36</v>
      </c>
      <c r="E60" s="2" t="s">
        <v>28</v>
      </c>
      <c r="F60" s="2" t="s">
        <v>233</v>
      </c>
      <c r="G60" s="2" t="s">
        <v>405</v>
      </c>
      <c r="H60" s="2" t="s">
        <v>406</v>
      </c>
      <c r="I60" s="2" t="s">
        <v>407</v>
      </c>
      <c r="J60" s="2" t="s">
        <v>60</v>
      </c>
      <c r="K60" s="2" t="s">
        <v>8</v>
      </c>
      <c r="L60" s="2" t="s">
        <v>408</v>
      </c>
    </row>
  </sheetData>
  <conditionalFormatting sqref="K2:K60">
    <cfRule type="cellIs" dxfId="3" priority="1" operator="equal">
      <formula>"Passed"</formula>
    </cfRule>
    <cfRule type="cellIs" dxfId="2" priority="2" operator="equal">
      <formula>"Failed"</formula>
    </cfRule>
    <cfRule type="cellIs" dxfId="1" priority="3" operator="equal">
      <formula>"Observed"</formula>
    </cfRule>
    <cfRule type="cellIs" dxfId="0" priority="4" operator="equal">
      <formula>"Not executed"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36" customWidth="1"/>
    <col min="3" max="3" width="10" customWidth="1"/>
    <col min="4" max="4" width="8" customWidth="1"/>
    <col min="5" max="5" width="18" customWidth="1"/>
    <col min="6" max="7" width="40" customWidth="1"/>
    <col min="8" max="8" width="50" customWidth="1"/>
    <col min="9" max="9" width="30" customWidth="1"/>
  </cols>
  <sheetData>
    <row r="1" spans="1:9" ht="16" customHeight="1" x14ac:dyDescent="0.2">
      <c r="A1" s="1" t="s">
        <v>409</v>
      </c>
      <c r="B1" s="1" t="s">
        <v>46</v>
      </c>
      <c r="C1" s="1" t="s">
        <v>410</v>
      </c>
      <c r="D1" s="1" t="s">
        <v>30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</row>
    <row r="2" spans="1:9" ht="39.5" customHeight="1" x14ac:dyDescent="0.2">
      <c r="A2" s="2" t="s">
        <v>416</v>
      </c>
      <c r="B2" s="2" t="s">
        <v>417</v>
      </c>
      <c r="C2" s="2" t="s">
        <v>418</v>
      </c>
      <c r="D2" s="2" t="s">
        <v>32</v>
      </c>
      <c r="E2" s="2" t="s">
        <v>276</v>
      </c>
      <c r="F2" s="2" t="s">
        <v>419</v>
      </c>
      <c r="G2" s="2" t="s">
        <v>420</v>
      </c>
      <c r="H2" s="2" t="s">
        <v>421</v>
      </c>
      <c r="I2" s="2" t="s">
        <v>422</v>
      </c>
    </row>
    <row r="3" spans="1:9" ht="32" customHeight="1" x14ac:dyDescent="0.2">
      <c r="A3" s="2" t="s">
        <v>423</v>
      </c>
      <c r="B3" s="2" t="s">
        <v>424</v>
      </c>
      <c r="C3" s="2" t="s">
        <v>425</v>
      </c>
      <c r="D3" s="2" t="s">
        <v>34</v>
      </c>
      <c r="E3" s="2" t="s">
        <v>347</v>
      </c>
      <c r="F3" s="2" t="s">
        <v>426</v>
      </c>
      <c r="G3" s="2" t="s">
        <v>427</v>
      </c>
      <c r="H3" s="2" t="s">
        <v>428</v>
      </c>
      <c r="I3" s="2" t="s">
        <v>429</v>
      </c>
    </row>
    <row r="4" spans="1:9" ht="32" customHeight="1" x14ac:dyDescent="0.2">
      <c r="A4" s="2" t="s">
        <v>430</v>
      </c>
      <c r="B4" s="2" t="s">
        <v>431</v>
      </c>
      <c r="C4" s="2" t="s">
        <v>432</v>
      </c>
      <c r="D4" s="2" t="s">
        <v>34</v>
      </c>
      <c r="E4" s="2" t="s">
        <v>433</v>
      </c>
      <c r="F4" s="2" t="s">
        <v>434</v>
      </c>
      <c r="G4" s="2" t="s">
        <v>435</v>
      </c>
      <c r="H4" s="2" t="s">
        <v>436</v>
      </c>
      <c r="I4" s="2" t="s">
        <v>437</v>
      </c>
    </row>
    <row r="5" spans="1:9" ht="26.25" customHeight="1" x14ac:dyDescent="0.2">
      <c r="A5" s="2" t="s">
        <v>438</v>
      </c>
      <c r="B5" s="2" t="s">
        <v>439</v>
      </c>
      <c r="C5" s="2" t="s">
        <v>432</v>
      </c>
      <c r="D5" s="2" t="s">
        <v>34</v>
      </c>
      <c r="E5" s="2" t="s">
        <v>440</v>
      </c>
      <c r="F5" s="2" t="s">
        <v>441</v>
      </c>
      <c r="G5" s="2" t="s">
        <v>442</v>
      </c>
      <c r="H5" s="2" t="s">
        <v>443</v>
      </c>
      <c r="I5" s="2" t="s">
        <v>444</v>
      </c>
    </row>
    <row r="6" spans="1:9" ht="26.25" customHeight="1" x14ac:dyDescent="0.2">
      <c r="A6" s="2" t="s">
        <v>445</v>
      </c>
      <c r="B6" s="2" t="s">
        <v>446</v>
      </c>
      <c r="C6" s="2" t="s">
        <v>432</v>
      </c>
      <c r="D6" s="2" t="s">
        <v>34</v>
      </c>
      <c r="E6" s="2" t="s">
        <v>329</v>
      </c>
      <c r="F6" s="2" t="s">
        <v>331</v>
      </c>
      <c r="G6" s="2" t="s">
        <v>442</v>
      </c>
      <c r="H6" s="2" t="s">
        <v>447</v>
      </c>
      <c r="I6" s="2" t="s">
        <v>448</v>
      </c>
    </row>
    <row r="7" spans="1:9" ht="26.25" customHeight="1" x14ac:dyDescent="0.2">
      <c r="A7" s="2" t="s">
        <v>449</v>
      </c>
      <c r="B7" s="2" t="s">
        <v>450</v>
      </c>
      <c r="C7" s="2" t="s">
        <v>432</v>
      </c>
      <c r="D7" s="2" t="s">
        <v>34</v>
      </c>
      <c r="E7" s="2" t="s">
        <v>365</v>
      </c>
      <c r="F7" s="2" t="s">
        <v>451</v>
      </c>
      <c r="G7" s="2" t="s">
        <v>452</v>
      </c>
      <c r="H7" s="2" t="s">
        <v>453</v>
      </c>
      <c r="I7" s="2" t="s">
        <v>454</v>
      </c>
    </row>
    <row r="8" spans="1:9" ht="16" customHeight="1" x14ac:dyDescent="0.2">
      <c r="A8" s="2" t="s">
        <v>455</v>
      </c>
      <c r="B8" s="2" t="s">
        <v>456</v>
      </c>
      <c r="C8" s="2" t="s">
        <v>457</v>
      </c>
      <c r="D8" s="2" t="s">
        <v>36</v>
      </c>
      <c r="E8" s="2" t="s">
        <v>341</v>
      </c>
      <c r="F8" s="2" t="s">
        <v>458</v>
      </c>
      <c r="G8" s="2" t="s">
        <v>459</v>
      </c>
      <c r="H8" s="2" t="s">
        <v>460</v>
      </c>
      <c r="I8" s="2" t="s">
        <v>461</v>
      </c>
    </row>
    <row r="9" spans="1:9" ht="26.25" customHeight="1" x14ac:dyDescent="0.2">
      <c r="A9" s="2" t="s">
        <v>462</v>
      </c>
      <c r="B9" s="2" t="s">
        <v>463</v>
      </c>
      <c r="C9" s="2" t="s">
        <v>457</v>
      </c>
      <c r="D9" s="2" t="s">
        <v>36</v>
      </c>
      <c r="E9" s="2" t="s">
        <v>353</v>
      </c>
      <c r="F9" s="2" t="s">
        <v>354</v>
      </c>
      <c r="G9" s="2" t="s">
        <v>464</v>
      </c>
      <c r="H9" s="2" t="s">
        <v>465</v>
      </c>
      <c r="I9" s="2" t="s">
        <v>466</v>
      </c>
    </row>
    <row r="10" spans="1:9" ht="26.25" customHeight="1" x14ac:dyDescent="0.2">
      <c r="A10" s="2" t="s">
        <v>467</v>
      </c>
      <c r="B10" s="2" t="s">
        <v>468</v>
      </c>
      <c r="C10" s="2" t="s">
        <v>457</v>
      </c>
      <c r="D10" s="2" t="s">
        <v>36</v>
      </c>
      <c r="E10" s="2" t="s">
        <v>403</v>
      </c>
      <c r="F10" s="2" t="s">
        <v>469</v>
      </c>
      <c r="G10" s="2" t="s">
        <v>470</v>
      </c>
      <c r="H10" s="2" t="s">
        <v>471</v>
      </c>
      <c r="I10" s="2" t="s">
        <v>472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Overview</vt:lpstr>
      <vt:lpstr>Test Cases</vt:lpstr>
      <vt:lpstr>Findings</vt:lpstr>
      <vt:lpstr>Overview!Print_Area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</dc:creator>
  <cp:lastModifiedBy>Bryan</cp:lastModifiedBy>
  <dcterms:created xsi:type="dcterms:W3CDTF">2026-10-01T16:11:28Z</dcterms:created>
  <dcterms:modified xsi:type="dcterms:W3CDTF">2026-10-01T17:00:01Z</dcterms:modified>
</cp:coreProperties>
</file>